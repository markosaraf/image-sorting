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" sheetId="1" r:id="rId4"/>
    <sheet state="visible" name="Uputstvo" sheetId="2" r:id="rId5"/>
    <sheet state="visible" name="Podesavanja" sheetId="3" r:id="rId6"/>
    <sheet state="visible" name="Namirnice" sheetId="4" r:id="rId7"/>
    <sheet state="visible" name="Recepture" sheetId="5" r:id="rId8"/>
    <sheet state="visible" name="Proizvodi" sheetId="6" r:id="rId9"/>
  </sheets>
  <definedNames/>
  <calcPr/>
  <extLst>
    <ext uri="GoogleSheetsCustomDataVersion2">
      <go:sheetsCustomData xmlns:go="http://customooxmlschemas.google.com/" r:id="rId10" roundtripDataChecksum="SnkawvExjz8Amo1qSktddPMMvWDrtIxrokU/uMpAP4I="/>
    </ext>
  </extLst>
</workbook>
</file>

<file path=xl/sharedStrings.xml><?xml version="1.0" encoding="utf-8"?>
<sst xmlns="http://schemas.openxmlformats.org/spreadsheetml/2006/main" count="252" uniqueCount="123">
  <si>
    <t>Kategorije</t>
  </si>
  <si>
    <t>Vrsta kupovine</t>
  </si>
  <si>
    <t>Jedinica</t>
  </si>
  <si>
    <t>Orašasti plodovi</t>
  </si>
  <si>
    <t>kilogram</t>
  </si>
  <si>
    <t>g</t>
  </si>
  <si>
    <t>Suvo voće</t>
  </si>
  <si>
    <t>litar</t>
  </si>
  <si>
    <t>ml</t>
  </si>
  <si>
    <t>Voće</t>
  </si>
  <si>
    <t>komad</t>
  </si>
  <si>
    <t>kom</t>
  </si>
  <si>
    <t>Povrće</t>
  </si>
  <si>
    <t>pakovanje</t>
  </si>
  <si>
    <t>Začini</t>
  </si>
  <si>
    <t>Biljna mleka</t>
  </si>
  <si>
    <t>Masti</t>
  </si>
  <si>
    <t>Ostalo</t>
  </si>
  <si>
    <t>VegaLove Menadžer 2.0</t>
  </si>
  <si>
    <t>KORAK</t>
  </si>
  <si>
    <t>LIST</t>
  </si>
  <si>
    <t>ŠTA UNOSIŠ</t>
  </si>
  <si>
    <t>1</t>
  </si>
  <si>
    <t>Namirnice</t>
  </si>
  <si>
    <t>Tikvice 1,50 €/kg: Vrsta kupovine = kilogram, Količina = 1, Cena = 1,50.</t>
  </si>
  <si>
    <t>2</t>
  </si>
  <si>
    <t>Recepture</t>
  </si>
  <si>
    <t>Samo količinu u gramima, mililitrima ili komadima.</t>
  </si>
  <si>
    <t>3</t>
  </si>
  <si>
    <t>Proizvodi</t>
  </si>
  <si>
    <t>Broj porcija, vreme rada i prodajnu cenu.</t>
  </si>
  <si>
    <t>4</t>
  </si>
  <si>
    <t>Prodaja</t>
  </si>
  <si>
    <t>Datum, proizvod i količinu.</t>
  </si>
  <si>
    <t>VAŽNO</t>
  </si>
  <si>
    <t>Žute ćelije</t>
  </si>
  <si>
    <t>To su polja za unos; ostalo se računa automatski.</t>
  </si>
  <si>
    <t>Podešavanja</t>
  </si>
  <si>
    <t>Parametar</t>
  </si>
  <si>
    <t>Vrednost</t>
  </si>
  <si>
    <t>Napomena</t>
  </si>
  <si>
    <t>Radni dani</t>
  </si>
  <si>
    <t>dana</t>
  </si>
  <si>
    <t>Dnevni pazar</t>
  </si>
  <si>
    <t>€</t>
  </si>
  <si>
    <t>Ciljani pazar</t>
  </si>
  <si>
    <t>Rad po satu</t>
  </si>
  <si>
    <t>€/sat</t>
  </si>
  <si>
    <t>Rezerva</t>
  </si>
  <si>
    <t>%</t>
  </si>
  <si>
    <t>Zakup</t>
  </si>
  <si>
    <t>Struja</t>
  </si>
  <si>
    <t>Voda</t>
  </si>
  <si>
    <t>Internet</t>
  </si>
  <si>
    <t>Knjigovođa</t>
  </si>
  <si>
    <t>Komunalije</t>
  </si>
  <si>
    <t>Čišćenje</t>
  </si>
  <si>
    <t>Banka</t>
  </si>
  <si>
    <t>Porezi</t>
  </si>
  <si>
    <t>Plate</t>
  </si>
  <si>
    <t>Obračun</t>
  </si>
  <si>
    <t>Fiksni troškovi</t>
  </si>
  <si>
    <t>Mesečni pazar</t>
  </si>
  <si>
    <t>Udeo fiksnih</t>
  </si>
  <si>
    <t>Centralni cenovnik namirnica</t>
  </si>
  <si>
    <t>Šifra</t>
  </si>
  <si>
    <t>Namirnica</t>
  </si>
  <si>
    <t>Kategorija</t>
  </si>
  <si>
    <t>Količina koju plaćaš</t>
  </si>
  <si>
    <t>Jedinica unosa</t>
  </si>
  <si>
    <t>Cena (€)</t>
  </si>
  <si>
    <t>Osnovna jedinica</t>
  </si>
  <si>
    <t>Osnovna količina</t>
  </si>
  <si>
    <t>Cena po jedinici</t>
  </si>
  <si>
    <t>N001</t>
  </si>
  <si>
    <t>Orasi</t>
  </si>
  <si>
    <t>kg</t>
  </si>
  <si>
    <t>N002</t>
  </si>
  <si>
    <t>Urme</t>
  </si>
  <si>
    <t>N003</t>
  </si>
  <si>
    <t>Kakao prah</t>
  </si>
  <si>
    <t>N004</t>
  </si>
  <si>
    <t>Vanila prah</t>
  </si>
  <si>
    <t>N005</t>
  </si>
  <si>
    <t>Indijski orah</t>
  </si>
  <si>
    <t>N006</t>
  </si>
  <si>
    <t>Kokos mleko</t>
  </si>
  <si>
    <t>N007</t>
  </si>
  <si>
    <t>Kakao puter</t>
  </si>
  <si>
    <t>N008</t>
  </si>
  <si>
    <t>Tikvice</t>
  </si>
  <si>
    <t>N009</t>
  </si>
  <si>
    <t>Avokado</t>
  </si>
  <si>
    <t>N010</t>
  </si>
  <si>
    <t>Paradajz</t>
  </si>
  <si>
    <t>N011</t>
  </si>
  <si>
    <t>Limun</t>
  </si>
  <si>
    <t>N012</t>
  </si>
  <si>
    <t>Vlasac</t>
  </si>
  <si>
    <t>N013</t>
  </si>
  <si>
    <t>Tamari</t>
  </si>
  <si>
    <t>N014</t>
  </si>
  <si>
    <t>Badem</t>
  </si>
  <si>
    <t>N015</t>
  </si>
  <si>
    <t>Suncokret</t>
  </si>
  <si>
    <t>N016</t>
  </si>
  <si>
    <t>Heljda</t>
  </si>
  <si>
    <t>Masline</t>
  </si>
  <si>
    <t>Proizvod</t>
  </si>
  <si>
    <t>Količina</t>
  </si>
  <si>
    <t>Trošak</t>
  </si>
  <si>
    <t>Čokoladna torta</t>
  </si>
  <si>
    <t>Špageti Meganeze</t>
  </si>
  <si>
    <t>Porcije</t>
  </si>
  <si>
    <t>Sastojci</t>
  </si>
  <si>
    <t>Rad min</t>
  </si>
  <si>
    <t>Trošak rada</t>
  </si>
  <si>
    <t>Fiksni trošak</t>
  </si>
  <si>
    <t>Ukupna cena</t>
  </si>
  <si>
    <t>Cena/porcija</t>
  </si>
  <si>
    <t>Prodajna cena</t>
  </si>
  <si>
    <t>Zarada</t>
  </si>
  <si>
    <t>Marža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</si>
</sst>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#,##0.00\ &quot;€&quot;"/>
  </numFmts>
  <fonts count="7">
    <font>
      <sz val="11.0"/>
      <color rgb="FF000000"/>
      <name val="Carlito"/>
      <scheme val="minor"/>
    </font>
    <font>
      <color theme="1"/>
      <name val="Carlito"/>
      <scheme val="minor"/>
    </font>
    <font>
      <b/>
      <sz val="16.0"/>
      <color rgb="FFFFFFFF"/>
      <name val="Carlito"/>
    </font>
    <font/>
    <font>
      <b/>
      <sz val="11.0"/>
      <color rgb="FFFFFFFF"/>
      <name val="Carlito"/>
    </font>
    <font>
      <sz val="11.0"/>
      <color theme="1"/>
      <name val="Carlito"/>
    </font>
    <font>
      <sz val="11.0"/>
      <color rgb="FF0000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2F6B4F"/>
        <bgColor rgb="FF2F6B4F"/>
      </patternFill>
    </fill>
    <fill>
      <patternFill patternType="solid">
        <fgColor rgb="FF5B8E63"/>
        <bgColor rgb="FF5B8E63"/>
      </patternFill>
    </fill>
    <fill>
      <patternFill patternType="solid">
        <fgColor rgb="FFFFF4CC"/>
        <bgColor rgb="FFFFF4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0" fillId="0" fontId="5" numFmtId="0" xfId="0" applyFont="1"/>
    <xf borderId="4" fillId="4" fontId="6" numFmtId="0" xfId="0" applyBorder="1" applyFill="1" applyFont="1"/>
    <xf borderId="4" fillId="4" fontId="6" numFmtId="164" xfId="0" applyBorder="1" applyFont="1" applyNumberFormat="1"/>
    <xf borderId="0" fillId="0" fontId="5" numFmtId="165" xfId="0" applyFont="1" applyNumberForma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7</v>
      </c>
      <c r="C3" s="1" t="s">
        <v>8</v>
      </c>
    </row>
    <row r="4" ht="14.25" customHeight="1">
      <c r="A4" s="1" t="s">
        <v>9</v>
      </c>
      <c r="B4" s="1" t="s">
        <v>10</v>
      </c>
      <c r="C4" s="1" t="s">
        <v>11</v>
      </c>
    </row>
    <row r="5" ht="14.25" customHeight="1">
      <c r="A5" s="1" t="s">
        <v>12</v>
      </c>
      <c r="B5" s="1" t="s">
        <v>13</v>
      </c>
    </row>
    <row r="6" ht="14.25" customHeight="1">
      <c r="A6" s="1" t="s">
        <v>14</v>
      </c>
    </row>
    <row r="7" ht="14.25" customHeight="1">
      <c r="A7" s="1" t="s">
        <v>15</v>
      </c>
    </row>
    <row r="8" ht="14.25" customHeight="1">
      <c r="A8" s="1" t="s">
        <v>16</v>
      </c>
    </row>
    <row r="9" ht="14.25" customHeight="1">
      <c r="A9" s="1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0"/>
    <col customWidth="1" min="3" max="8" width="18.0"/>
    <col customWidth="1" min="9" max="26" width="8.63"/>
  </cols>
  <sheetData>
    <row r="1" ht="14.25" customHeight="1">
      <c r="A1" s="2" t="s">
        <v>18</v>
      </c>
      <c r="B1" s="3"/>
      <c r="C1" s="3"/>
      <c r="D1" s="3"/>
      <c r="E1" s="3"/>
      <c r="F1" s="3"/>
      <c r="G1" s="3"/>
      <c r="H1" s="4"/>
    </row>
    <row r="2" ht="14.25" customHeight="1"/>
    <row r="3" ht="14.25" customHeight="1">
      <c r="A3" s="5" t="s">
        <v>19</v>
      </c>
      <c r="B3" s="5" t="s">
        <v>20</v>
      </c>
      <c r="C3" s="5" t="s">
        <v>21</v>
      </c>
    </row>
    <row r="4" ht="14.25" customHeight="1">
      <c r="A4" s="1" t="s">
        <v>22</v>
      </c>
      <c r="B4" s="1" t="s">
        <v>23</v>
      </c>
      <c r="C4" s="6" t="s">
        <v>24</v>
      </c>
    </row>
    <row r="5" ht="14.25" customHeight="1">
      <c r="A5" s="1" t="s">
        <v>25</v>
      </c>
      <c r="B5" s="1" t="s">
        <v>26</v>
      </c>
      <c r="C5" s="6" t="s">
        <v>27</v>
      </c>
    </row>
    <row r="6" ht="14.25" customHeight="1">
      <c r="A6" s="1" t="s">
        <v>28</v>
      </c>
      <c r="B6" s="1" t="s">
        <v>29</v>
      </c>
      <c r="C6" s="6" t="s">
        <v>30</v>
      </c>
    </row>
    <row r="7" ht="14.25" customHeight="1">
      <c r="A7" s="1" t="s">
        <v>31</v>
      </c>
      <c r="B7" s="1" t="s">
        <v>32</v>
      </c>
      <c r="C7" s="6" t="s">
        <v>33</v>
      </c>
    </row>
    <row r="8" ht="14.25" customHeight="1">
      <c r="A8" s="1" t="s">
        <v>34</v>
      </c>
      <c r="B8" s="1" t="s">
        <v>35</v>
      </c>
      <c r="C8" s="6" t="s">
        <v>36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H1"/>
    <mergeCell ref="C4:H4"/>
    <mergeCell ref="C5:H5"/>
    <mergeCell ref="C6:H6"/>
    <mergeCell ref="C7:H7"/>
    <mergeCell ref="C8:H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4" width="16.0"/>
    <col customWidth="1" min="5" max="26" width="8.63"/>
  </cols>
  <sheetData>
    <row r="1" ht="14.25" customHeight="1">
      <c r="A1" s="2" t="s">
        <v>37</v>
      </c>
      <c r="B1" s="3"/>
      <c r="C1" s="3"/>
      <c r="D1" s="4"/>
    </row>
    <row r="2" ht="14.25" customHeight="1"/>
    <row r="3" ht="14.25" customHeight="1">
      <c r="A3" s="5" t="s">
        <v>38</v>
      </c>
      <c r="B3" s="5" t="s">
        <v>39</v>
      </c>
      <c r="C3" s="5" t="s">
        <v>2</v>
      </c>
      <c r="D3" s="5" t="s">
        <v>40</v>
      </c>
    </row>
    <row r="4" ht="14.25" customHeight="1">
      <c r="A4" s="1" t="s">
        <v>41</v>
      </c>
      <c r="B4" s="7">
        <v>26.0</v>
      </c>
      <c r="C4" s="1" t="s">
        <v>42</v>
      </c>
    </row>
    <row r="5" ht="14.25" customHeight="1">
      <c r="A5" s="1" t="s">
        <v>43</v>
      </c>
      <c r="B5" s="7">
        <v>150.0</v>
      </c>
      <c r="C5" s="1" t="s">
        <v>44</v>
      </c>
    </row>
    <row r="6" ht="14.25" customHeight="1">
      <c r="A6" s="1" t="s">
        <v>45</v>
      </c>
      <c r="B6" s="7">
        <v>250.0</v>
      </c>
      <c r="C6" s="1" t="s">
        <v>44</v>
      </c>
    </row>
    <row r="7" ht="14.25" customHeight="1">
      <c r="A7" s="1" t="s">
        <v>46</v>
      </c>
      <c r="B7" s="7">
        <v>8.0</v>
      </c>
      <c r="C7" s="1" t="s">
        <v>47</v>
      </c>
    </row>
    <row r="8" ht="14.25" customHeight="1">
      <c r="A8" s="1" t="s">
        <v>48</v>
      </c>
      <c r="B8" s="8">
        <v>0.05</v>
      </c>
      <c r="C8" s="1" t="s">
        <v>49</v>
      </c>
    </row>
    <row r="9" ht="14.25" customHeight="1">
      <c r="A9" s="1" t="s">
        <v>50</v>
      </c>
      <c r="B9" s="7">
        <v>800.0</v>
      </c>
      <c r="C9" s="1" t="s">
        <v>44</v>
      </c>
    </row>
    <row r="10" ht="14.25" customHeight="1">
      <c r="A10" s="1" t="s">
        <v>51</v>
      </c>
      <c r="B10" s="7">
        <v>100.0</v>
      </c>
      <c r="C10" s="1" t="s">
        <v>44</v>
      </c>
    </row>
    <row r="11" ht="14.25" customHeight="1">
      <c r="A11" s="1" t="s">
        <v>52</v>
      </c>
      <c r="B11" s="7">
        <v>25.0</v>
      </c>
      <c r="C11" s="1" t="s">
        <v>44</v>
      </c>
    </row>
    <row r="12" ht="14.25" customHeight="1">
      <c r="A12" s="1" t="s">
        <v>53</v>
      </c>
      <c r="B12" s="7">
        <v>25.0</v>
      </c>
      <c r="C12" s="1" t="s">
        <v>44</v>
      </c>
    </row>
    <row r="13" ht="14.25" customHeight="1">
      <c r="A13" s="1" t="s">
        <v>54</v>
      </c>
      <c r="B13" s="7">
        <v>120.0</v>
      </c>
      <c r="C13" s="1" t="s">
        <v>44</v>
      </c>
    </row>
    <row r="14" ht="14.25" customHeight="1">
      <c r="A14" s="1" t="s">
        <v>55</v>
      </c>
      <c r="B14" s="7">
        <v>20.0</v>
      </c>
      <c r="C14" s="1" t="s">
        <v>44</v>
      </c>
    </row>
    <row r="15" ht="14.25" customHeight="1">
      <c r="A15" s="1" t="s">
        <v>56</v>
      </c>
      <c r="B15" s="7">
        <v>5.0</v>
      </c>
      <c r="C15" s="1" t="s">
        <v>44</v>
      </c>
    </row>
    <row r="16" ht="14.25" customHeight="1">
      <c r="A16" s="1" t="s">
        <v>57</v>
      </c>
      <c r="B16" s="7">
        <v>7.0</v>
      </c>
      <c r="C16" s="1" t="s">
        <v>44</v>
      </c>
    </row>
    <row r="17" ht="14.25" customHeight="1">
      <c r="A17" s="1" t="s">
        <v>58</v>
      </c>
      <c r="B17" s="7">
        <v>180.0</v>
      </c>
      <c r="C17" s="1" t="s">
        <v>44</v>
      </c>
    </row>
    <row r="18" ht="14.25" customHeight="1">
      <c r="A18" s="1" t="s">
        <v>59</v>
      </c>
      <c r="B18" s="7">
        <v>1080.0</v>
      </c>
      <c r="C18" s="1" t="s">
        <v>44</v>
      </c>
    </row>
    <row r="19" ht="14.25" customHeight="1">
      <c r="A19" s="1" t="s">
        <v>17</v>
      </c>
      <c r="B19" s="7">
        <v>50.0</v>
      </c>
      <c r="C19" s="1" t="s">
        <v>44</v>
      </c>
    </row>
    <row r="20" ht="14.25" customHeight="1"/>
    <row r="21" ht="14.25" customHeight="1">
      <c r="A21" s="5" t="s">
        <v>60</v>
      </c>
      <c r="B21" s="5" t="s">
        <v>39</v>
      </c>
    </row>
    <row r="22" ht="14.25" customHeight="1">
      <c r="A22" s="1" t="s">
        <v>61</v>
      </c>
      <c r="B22" s="9">
        <f>SUM(B9:B19)</f>
        <v>2412</v>
      </c>
    </row>
    <row r="23" ht="14.25" customHeight="1">
      <c r="A23" s="1" t="s">
        <v>62</v>
      </c>
      <c r="B23" s="9">
        <f>B4*B5</f>
        <v>3900</v>
      </c>
    </row>
    <row r="24" ht="14.25" customHeight="1">
      <c r="A24" s="1" t="s">
        <v>63</v>
      </c>
      <c r="B24" s="10">
        <f>IFERROR(B22/B23,0)</f>
        <v>0.6184615385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0"/>
    <col customWidth="1" min="3" max="5" width="18.0"/>
    <col customWidth="1" min="6" max="8" width="14.0"/>
    <col customWidth="1" min="9" max="10" width="20.0"/>
    <col customWidth="1" min="11" max="26" width="8.63"/>
  </cols>
  <sheetData>
    <row r="1" ht="14.25" customHeight="1">
      <c r="A1" s="2" t="s">
        <v>64</v>
      </c>
      <c r="B1" s="3"/>
      <c r="C1" s="3"/>
      <c r="D1" s="3"/>
      <c r="E1" s="3"/>
      <c r="F1" s="3"/>
      <c r="G1" s="3"/>
      <c r="H1" s="3"/>
      <c r="I1" s="3"/>
      <c r="J1" s="4"/>
    </row>
    <row r="2" ht="14.25" customHeight="1"/>
    <row r="3" ht="14.25" customHeight="1">
      <c r="A3" s="5" t="s">
        <v>65</v>
      </c>
      <c r="B3" s="5" t="s">
        <v>66</v>
      </c>
      <c r="C3" s="5" t="s">
        <v>67</v>
      </c>
      <c r="D3" s="5" t="s">
        <v>1</v>
      </c>
      <c r="E3" s="5" t="s">
        <v>68</v>
      </c>
      <c r="F3" s="5" t="s">
        <v>69</v>
      </c>
      <c r="G3" s="5" t="s">
        <v>70</v>
      </c>
      <c r="H3" s="5" t="s">
        <v>71</v>
      </c>
      <c r="I3" s="5" t="s">
        <v>72</v>
      </c>
      <c r="J3" s="5" t="s">
        <v>73</v>
      </c>
    </row>
    <row r="4" ht="14.25" customHeight="1">
      <c r="A4" s="7" t="s">
        <v>74</v>
      </c>
      <c r="B4" s="7" t="s">
        <v>75</v>
      </c>
      <c r="C4" s="7" t="s">
        <v>3</v>
      </c>
      <c r="D4" s="7" t="s">
        <v>4</v>
      </c>
      <c r="E4" s="7">
        <v>1.0</v>
      </c>
      <c r="F4" s="7" t="s">
        <v>76</v>
      </c>
      <c r="G4" s="7">
        <v>14.0</v>
      </c>
      <c r="H4" s="7" t="s">
        <v>5</v>
      </c>
      <c r="I4" s="1">
        <f t="shared" ref="I4:I200" si="1">IF(D4="kilogram",E4*1000,IF(D4="litar",E4*1000,E4))</f>
        <v>1000</v>
      </c>
      <c r="J4" s="1">
        <f t="shared" ref="J4:J200" si="2">IFERROR(G4/I4,0)</f>
        <v>0.014</v>
      </c>
    </row>
    <row r="5" ht="14.25" customHeight="1">
      <c r="A5" s="7" t="s">
        <v>77</v>
      </c>
      <c r="B5" s="7" t="s">
        <v>78</v>
      </c>
      <c r="C5" s="7" t="s">
        <v>6</v>
      </c>
      <c r="D5" s="7" t="s">
        <v>4</v>
      </c>
      <c r="E5" s="7">
        <v>1.0</v>
      </c>
      <c r="F5" s="7" t="s">
        <v>76</v>
      </c>
      <c r="G5" s="7">
        <v>6.0</v>
      </c>
      <c r="H5" s="7" t="s">
        <v>5</v>
      </c>
      <c r="I5" s="1">
        <f t="shared" si="1"/>
        <v>1000</v>
      </c>
      <c r="J5" s="1">
        <f t="shared" si="2"/>
        <v>0.006</v>
      </c>
    </row>
    <row r="6" ht="14.25" customHeight="1">
      <c r="A6" s="7" t="s">
        <v>79</v>
      </c>
      <c r="B6" s="7" t="s">
        <v>80</v>
      </c>
      <c r="C6" s="7" t="s">
        <v>17</v>
      </c>
      <c r="D6" s="7" t="s">
        <v>4</v>
      </c>
      <c r="E6" s="7">
        <v>1.0</v>
      </c>
      <c r="F6" s="7" t="s">
        <v>76</v>
      </c>
      <c r="G6" s="7">
        <v>28.0</v>
      </c>
      <c r="H6" s="7" t="s">
        <v>5</v>
      </c>
      <c r="I6" s="1">
        <f t="shared" si="1"/>
        <v>1000</v>
      </c>
      <c r="J6" s="1">
        <f t="shared" si="2"/>
        <v>0.028</v>
      </c>
    </row>
    <row r="7" ht="14.25" customHeight="1">
      <c r="A7" s="7" t="s">
        <v>81</v>
      </c>
      <c r="B7" s="7" t="s">
        <v>82</v>
      </c>
      <c r="C7" s="7" t="s">
        <v>17</v>
      </c>
      <c r="D7" s="7" t="s">
        <v>13</v>
      </c>
      <c r="E7" s="7">
        <v>10.0</v>
      </c>
      <c r="F7" s="7" t="s">
        <v>5</v>
      </c>
      <c r="G7" s="7">
        <v>7.0</v>
      </c>
      <c r="H7" s="7" t="s">
        <v>5</v>
      </c>
      <c r="I7" s="1">
        <f t="shared" si="1"/>
        <v>10</v>
      </c>
      <c r="J7" s="1">
        <f t="shared" si="2"/>
        <v>0.7</v>
      </c>
    </row>
    <row r="8" ht="14.25" customHeight="1">
      <c r="A8" s="7" t="s">
        <v>83</v>
      </c>
      <c r="B8" s="7" t="s">
        <v>84</v>
      </c>
      <c r="C8" s="7" t="s">
        <v>3</v>
      </c>
      <c r="D8" s="7" t="s">
        <v>4</v>
      </c>
      <c r="E8" s="7">
        <v>1.0</v>
      </c>
      <c r="F8" s="7" t="s">
        <v>76</v>
      </c>
      <c r="G8" s="7">
        <v>20.0</v>
      </c>
      <c r="H8" s="7" t="s">
        <v>5</v>
      </c>
      <c r="I8" s="1">
        <f t="shared" si="1"/>
        <v>1000</v>
      </c>
      <c r="J8" s="1">
        <f t="shared" si="2"/>
        <v>0.02</v>
      </c>
    </row>
    <row r="9" ht="14.25" customHeight="1">
      <c r="A9" s="7" t="s">
        <v>85</v>
      </c>
      <c r="B9" s="7" t="s">
        <v>86</v>
      </c>
      <c r="C9" s="7" t="s">
        <v>15</v>
      </c>
      <c r="D9" s="7" t="s">
        <v>13</v>
      </c>
      <c r="E9" s="7">
        <v>400.0</v>
      </c>
      <c r="F9" s="7" t="s">
        <v>8</v>
      </c>
      <c r="G9" s="7">
        <v>5.0</v>
      </c>
      <c r="H9" s="7" t="s">
        <v>8</v>
      </c>
      <c r="I9" s="1">
        <f t="shared" si="1"/>
        <v>400</v>
      </c>
      <c r="J9" s="1">
        <f t="shared" si="2"/>
        <v>0.0125</v>
      </c>
    </row>
    <row r="10" ht="14.25" customHeight="1">
      <c r="A10" s="7" t="s">
        <v>87</v>
      </c>
      <c r="B10" s="7" t="s">
        <v>88</v>
      </c>
      <c r="C10" s="7" t="s">
        <v>16</v>
      </c>
      <c r="D10" s="7" t="s">
        <v>4</v>
      </c>
      <c r="E10" s="7">
        <v>1.0</v>
      </c>
      <c r="F10" s="7" t="s">
        <v>76</v>
      </c>
      <c r="G10" s="7">
        <v>50.0</v>
      </c>
      <c r="H10" s="7" t="s">
        <v>5</v>
      </c>
      <c r="I10" s="1">
        <f t="shared" si="1"/>
        <v>1000</v>
      </c>
      <c r="J10" s="1">
        <f t="shared" si="2"/>
        <v>0.05</v>
      </c>
    </row>
    <row r="11" ht="14.25" customHeight="1">
      <c r="A11" s="7" t="s">
        <v>89</v>
      </c>
      <c r="B11" s="7" t="s">
        <v>90</v>
      </c>
      <c r="C11" s="7" t="s">
        <v>12</v>
      </c>
      <c r="D11" s="7" t="s">
        <v>4</v>
      </c>
      <c r="E11" s="7">
        <v>1.0</v>
      </c>
      <c r="F11" s="7" t="s">
        <v>76</v>
      </c>
      <c r="G11" s="7">
        <v>1.5</v>
      </c>
      <c r="H11" s="7" t="s">
        <v>5</v>
      </c>
      <c r="I11" s="1">
        <f t="shared" si="1"/>
        <v>1000</v>
      </c>
      <c r="J11" s="1">
        <f t="shared" si="2"/>
        <v>0.0015</v>
      </c>
    </row>
    <row r="12" ht="14.25" customHeight="1">
      <c r="A12" s="7" t="s">
        <v>91</v>
      </c>
      <c r="B12" s="7" t="s">
        <v>92</v>
      </c>
      <c r="C12" s="7" t="s">
        <v>9</v>
      </c>
      <c r="D12" s="7" t="s">
        <v>4</v>
      </c>
      <c r="E12" s="7">
        <v>1.0</v>
      </c>
      <c r="F12" s="7" t="s">
        <v>76</v>
      </c>
      <c r="G12" s="7">
        <v>0.0</v>
      </c>
      <c r="H12" s="7" t="s">
        <v>5</v>
      </c>
      <c r="I12" s="1">
        <f t="shared" si="1"/>
        <v>1000</v>
      </c>
      <c r="J12" s="1">
        <f t="shared" si="2"/>
        <v>0</v>
      </c>
    </row>
    <row r="13" ht="14.25" customHeight="1">
      <c r="A13" s="7" t="s">
        <v>93</v>
      </c>
      <c r="B13" s="7" t="s">
        <v>94</v>
      </c>
      <c r="C13" s="7" t="s">
        <v>12</v>
      </c>
      <c r="D13" s="7" t="s">
        <v>4</v>
      </c>
      <c r="E13" s="7">
        <v>1.0</v>
      </c>
      <c r="F13" s="7" t="s">
        <v>76</v>
      </c>
      <c r="G13" s="7">
        <v>0.0</v>
      </c>
      <c r="H13" s="7" t="s">
        <v>5</v>
      </c>
      <c r="I13" s="1">
        <f t="shared" si="1"/>
        <v>1000</v>
      </c>
      <c r="J13" s="1">
        <f t="shared" si="2"/>
        <v>0</v>
      </c>
    </row>
    <row r="14" ht="14.25" customHeight="1">
      <c r="A14" s="7" t="s">
        <v>95</v>
      </c>
      <c r="B14" s="7" t="s">
        <v>96</v>
      </c>
      <c r="C14" s="7" t="s">
        <v>9</v>
      </c>
      <c r="D14" s="7" t="s">
        <v>4</v>
      </c>
      <c r="E14" s="7">
        <v>1.0</v>
      </c>
      <c r="F14" s="7" t="s">
        <v>76</v>
      </c>
      <c r="G14" s="7">
        <v>3.0</v>
      </c>
      <c r="H14" s="7" t="s">
        <v>5</v>
      </c>
      <c r="I14" s="1">
        <f t="shared" si="1"/>
        <v>1000</v>
      </c>
      <c r="J14" s="1">
        <f t="shared" si="2"/>
        <v>0.003</v>
      </c>
    </row>
    <row r="15" ht="14.25" customHeight="1">
      <c r="A15" s="7" t="s">
        <v>97</v>
      </c>
      <c r="B15" s="7" t="s">
        <v>98</v>
      </c>
      <c r="C15" s="7" t="s">
        <v>14</v>
      </c>
      <c r="D15" s="7" t="s">
        <v>13</v>
      </c>
      <c r="E15" s="7">
        <v>0.0</v>
      </c>
      <c r="F15" s="7" t="s">
        <v>5</v>
      </c>
      <c r="G15" s="7">
        <v>0.0</v>
      </c>
      <c r="H15" s="7" t="s">
        <v>5</v>
      </c>
      <c r="I15" s="1">
        <f t="shared" si="1"/>
        <v>0</v>
      </c>
      <c r="J15" s="1">
        <f t="shared" si="2"/>
        <v>0</v>
      </c>
    </row>
    <row r="16" ht="14.25" customHeight="1">
      <c r="A16" s="7" t="s">
        <v>99</v>
      </c>
      <c r="B16" s="7" t="s">
        <v>100</v>
      </c>
      <c r="C16" s="7" t="s">
        <v>14</v>
      </c>
      <c r="D16" s="7" t="s">
        <v>13</v>
      </c>
      <c r="E16" s="7">
        <v>250.0</v>
      </c>
      <c r="F16" s="7" t="s">
        <v>8</v>
      </c>
      <c r="G16" s="7">
        <v>6.0</v>
      </c>
      <c r="H16" s="7" t="s">
        <v>8</v>
      </c>
      <c r="I16" s="1">
        <f t="shared" si="1"/>
        <v>250</v>
      </c>
      <c r="J16" s="1">
        <f t="shared" si="2"/>
        <v>0.024</v>
      </c>
    </row>
    <row r="17" ht="14.25" customHeight="1">
      <c r="A17" s="7" t="s">
        <v>101</v>
      </c>
      <c r="B17" s="7" t="s">
        <v>102</v>
      </c>
      <c r="C17" s="7" t="s">
        <v>3</v>
      </c>
      <c r="D17" s="7" t="s">
        <v>4</v>
      </c>
      <c r="E17" s="7">
        <v>1.0</v>
      </c>
      <c r="F17" s="7" t="s">
        <v>76</v>
      </c>
      <c r="G17" s="7">
        <v>15.0</v>
      </c>
      <c r="H17" s="7" t="s">
        <v>5</v>
      </c>
      <c r="I17" s="1">
        <f t="shared" si="1"/>
        <v>1000</v>
      </c>
      <c r="J17" s="1">
        <f t="shared" si="2"/>
        <v>0.015</v>
      </c>
    </row>
    <row r="18" ht="14.25" customHeight="1">
      <c r="A18" s="7" t="s">
        <v>103</v>
      </c>
      <c r="B18" s="7" t="s">
        <v>104</v>
      </c>
      <c r="C18" s="7" t="s">
        <v>3</v>
      </c>
      <c r="D18" s="7" t="s">
        <v>4</v>
      </c>
      <c r="E18" s="7">
        <v>1.0</v>
      </c>
      <c r="F18" s="7" t="s">
        <v>76</v>
      </c>
      <c r="G18" s="7">
        <v>6.0</v>
      </c>
      <c r="H18" s="7" t="s">
        <v>5</v>
      </c>
      <c r="I18" s="1">
        <f t="shared" si="1"/>
        <v>1000</v>
      </c>
      <c r="J18" s="1">
        <f t="shared" si="2"/>
        <v>0.006</v>
      </c>
    </row>
    <row r="19" ht="14.25" customHeight="1">
      <c r="A19" s="7" t="s">
        <v>105</v>
      </c>
      <c r="B19" s="7" t="s">
        <v>106</v>
      </c>
      <c r="C19" s="7" t="s">
        <v>3</v>
      </c>
      <c r="D19" s="7" t="s">
        <v>4</v>
      </c>
      <c r="E19" s="7">
        <v>1.0</v>
      </c>
      <c r="F19" s="7" t="s">
        <v>76</v>
      </c>
      <c r="G19" s="7">
        <v>6.0</v>
      </c>
      <c r="H19" s="7" t="s">
        <v>5</v>
      </c>
      <c r="I19" s="1">
        <f t="shared" si="1"/>
        <v>1000</v>
      </c>
      <c r="J19" s="1">
        <f t="shared" si="2"/>
        <v>0.006</v>
      </c>
    </row>
    <row r="20" ht="14.25" customHeight="1">
      <c r="A20" s="7"/>
      <c r="B20" s="7" t="s">
        <v>107</v>
      </c>
      <c r="C20" s="7" t="s">
        <v>9</v>
      </c>
      <c r="D20" s="7" t="s">
        <v>4</v>
      </c>
      <c r="E20" s="7">
        <v>1.0</v>
      </c>
      <c r="F20" s="7" t="s">
        <v>76</v>
      </c>
      <c r="G20" s="7">
        <v>8.0</v>
      </c>
      <c r="H20" s="7" t="s">
        <v>5</v>
      </c>
      <c r="I20" s="1">
        <f t="shared" si="1"/>
        <v>1000</v>
      </c>
      <c r="J20" s="1">
        <f t="shared" si="2"/>
        <v>0.008</v>
      </c>
    </row>
    <row r="21" ht="14.25" customHeight="1">
      <c r="A21" s="7"/>
      <c r="B21" s="7"/>
      <c r="C21" s="7"/>
      <c r="D21" s="7"/>
      <c r="E21" s="7"/>
      <c r="F21" s="7"/>
      <c r="G21" s="7"/>
      <c r="H21" s="7"/>
      <c r="I21" s="1" t="str">
        <f t="shared" si="1"/>
        <v/>
      </c>
      <c r="J21" s="1">
        <f t="shared" si="2"/>
        <v>0</v>
      </c>
    </row>
    <row r="22" ht="14.25" customHeight="1">
      <c r="A22" s="7"/>
      <c r="B22" s="7"/>
      <c r="C22" s="7"/>
      <c r="D22" s="7"/>
      <c r="E22" s="7"/>
      <c r="F22" s="7"/>
      <c r="G22" s="7"/>
      <c r="H22" s="7"/>
      <c r="I22" s="1" t="str">
        <f t="shared" si="1"/>
        <v/>
      </c>
      <c r="J22" s="1">
        <f t="shared" si="2"/>
        <v>0</v>
      </c>
    </row>
    <row r="23" ht="14.25" customHeight="1">
      <c r="A23" s="7"/>
      <c r="B23" s="7"/>
      <c r="C23" s="7"/>
      <c r="D23" s="7"/>
      <c r="E23" s="7"/>
      <c r="F23" s="7"/>
      <c r="G23" s="7"/>
      <c r="H23" s="7"/>
      <c r="I23" s="1" t="str">
        <f t="shared" si="1"/>
        <v/>
      </c>
      <c r="J23" s="1">
        <f t="shared" si="2"/>
        <v>0</v>
      </c>
    </row>
    <row r="24" ht="14.25" customHeight="1">
      <c r="A24" s="7"/>
      <c r="B24" s="7"/>
      <c r="C24" s="7"/>
      <c r="D24" s="7"/>
      <c r="E24" s="7"/>
      <c r="F24" s="7"/>
      <c r="G24" s="7"/>
      <c r="H24" s="7"/>
      <c r="I24" s="1" t="str">
        <f t="shared" si="1"/>
        <v/>
      </c>
      <c r="J24" s="1">
        <f t="shared" si="2"/>
        <v>0</v>
      </c>
    </row>
    <row r="25" ht="14.25" customHeight="1">
      <c r="A25" s="7"/>
      <c r="B25" s="7"/>
      <c r="C25" s="7"/>
      <c r="D25" s="7"/>
      <c r="E25" s="7"/>
      <c r="F25" s="7"/>
      <c r="G25" s="7"/>
      <c r="H25" s="7"/>
      <c r="I25" s="1" t="str">
        <f t="shared" si="1"/>
        <v/>
      </c>
      <c r="J25" s="1">
        <f t="shared" si="2"/>
        <v>0</v>
      </c>
    </row>
    <row r="26" ht="14.25" customHeight="1">
      <c r="A26" s="7"/>
      <c r="B26" s="7"/>
      <c r="C26" s="7"/>
      <c r="D26" s="7"/>
      <c r="E26" s="7"/>
      <c r="F26" s="7"/>
      <c r="G26" s="7"/>
      <c r="H26" s="7"/>
      <c r="I26" s="1" t="str">
        <f t="shared" si="1"/>
        <v/>
      </c>
      <c r="J26" s="1">
        <f t="shared" si="2"/>
        <v>0</v>
      </c>
    </row>
    <row r="27" ht="14.25" customHeight="1">
      <c r="A27" s="7"/>
      <c r="B27" s="7"/>
      <c r="C27" s="7"/>
      <c r="D27" s="7"/>
      <c r="E27" s="7"/>
      <c r="F27" s="7"/>
      <c r="G27" s="7"/>
      <c r="H27" s="7"/>
      <c r="I27" s="1" t="str">
        <f t="shared" si="1"/>
        <v/>
      </c>
      <c r="J27" s="1">
        <f t="shared" si="2"/>
        <v>0</v>
      </c>
    </row>
    <row r="28" ht="14.25" customHeight="1">
      <c r="A28" s="7"/>
      <c r="B28" s="7"/>
      <c r="C28" s="7"/>
      <c r="D28" s="7"/>
      <c r="E28" s="7"/>
      <c r="F28" s="7"/>
      <c r="G28" s="7"/>
      <c r="H28" s="7"/>
      <c r="I28" s="1" t="str">
        <f t="shared" si="1"/>
        <v/>
      </c>
      <c r="J28" s="1">
        <f t="shared" si="2"/>
        <v>0</v>
      </c>
    </row>
    <row r="29" ht="14.25" customHeight="1">
      <c r="A29" s="7"/>
      <c r="B29" s="7"/>
      <c r="C29" s="7"/>
      <c r="D29" s="7"/>
      <c r="E29" s="7"/>
      <c r="F29" s="7"/>
      <c r="G29" s="7"/>
      <c r="H29" s="7"/>
      <c r="I29" s="1" t="str">
        <f t="shared" si="1"/>
        <v/>
      </c>
      <c r="J29" s="1">
        <f t="shared" si="2"/>
        <v>0</v>
      </c>
    </row>
    <row r="30" ht="14.25" customHeight="1">
      <c r="A30" s="7"/>
      <c r="B30" s="7"/>
      <c r="C30" s="7"/>
      <c r="D30" s="7"/>
      <c r="E30" s="7"/>
      <c r="F30" s="7"/>
      <c r="G30" s="7"/>
      <c r="H30" s="7"/>
      <c r="I30" s="1" t="str">
        <f t="shared" si="1"/>
        <v/>
      </c>
      <c r="J30" s="1">
        <f t="shared" si="2"/>
        <v>0</v>
      </c>
    </row>
    <row r="31" ht="14.25" customHeight="1">
      <c r="A31" s="7"/>
      <c r="B31" s="7"/>
      <c r="C31" s="7"/>
      <c r="D31" s="7"/>
      <c r="E31" s="7"/>
      <c r="F31" s="7"/>
      <c r="G31" s="7"/>
      <c r="H31" s="7"/>
      <c r="I31" s="1" t="str">
        <f t="shared" si="1"/>
        <v/>
      </c>
      <c r="J31" s="1">
        <f t="shared" si="2"/>
        <v>0</v>
      </c>
    </row>
    <row r="32" ht="14.25" customHeight="1">
      <c r="A32" s="7"/>
      <c r="B32" s="7"/>
      <c r="C32" s="7"/>
      <c r="D32" s="7"/>
      <c r="E32" s="7"/>
      <c r="F32" s="7"/>
      <c r="G32" s="7"/>
      <c r="H32" s="7"/>
      <c r="I32" s="1" t="str">
        <f t="shared" si="1"/>
        <v/>
      </c>
      <c r="J32" s="1">
        <f t="shared" si="2"/>
        <v>0</v>
      </c>
    </row>
    <row r="33" ht="14.25" customHeight="1">
      <c r="A33" s="7"/>
      <c r="B33" s="7"/>
      <c r="C33" s="7"/>
      <c r="D33" s="7"/>
      <c r="E33" s="7"/>
      <c r="F33" s="7"/>
      <c r="G33" s="7"/>
      <c r="H33" s="7"/>
      <c r="I33" s="1" t="str">
        <f t="shared" si="1"/>
        <v/>
      </c>
      <c r="J33" s="1">
        <f t="shared" si="2"/>
        <v>0</v>
      </c>
    </row>
    <row r="34" ht="14.25" customHeight="1">
      <c r="A34" s="7"/>
      <c r="B34" s="7"/>
      <c r="C34" s="7"/>
      <c r="D34" s="7"/>
      <c r="E34" s="7"/>
      <c r="F34" s="7"/>
      <c r="G34" s="7"/>
      <c r="H34" s="7"/>
      <c r="I34" s="1" t="str">
        <f t="shared" si="1"/>
        <v/>
      </c>
      <c r="J34" s="1">
        <f t="shared" si="2"/>
        <v>0</v>
      </c>
    </row>
    <row r="35" ht="14.25" customHeight="1">
      <c r="A35" s="7"/>
      <c r="B35" s="7"/>
      <c r="C35" s="7"/>
      <c r="D35" s="7"/>
      <c r="E35" s="7"/>
      <c r="F35" s="7"/>
      <c r="G35" s="7"/>
      <c r="H35" s="7"/>
      <c r="I35" s="1" t="str">
        <f t="shared" si="1"/>
        <v/>
      </c>
      <c r="J35" s="1">
        <f t="shared" si="2"/>
        <v>0</v>
      </c>
    </row>
    <row r="36" ht="14.25" customHeight="1">
      <c r="A36" s="7"/>
      <c r="B36" s="7"/>
      <c r="C36" s="7"/>
      <c r="D36" s="7"/>
      <c r="E36" s="7"/>
      <c r="F36" s="7"/>
      <c r="G36" s="7"/>
      <c r="H36" s="7"/>
      <c r="I36" s="1" t="str">
        <f t="shared" si="1"/>
        <v/>
      </c>
      <c r="J36" s="1">
        <f t="shared" si="2"/>
        <v>0</v>
      </c>
    </row>
    <row r="37" ht="14.25" customHeight="1">
      <c r="A37" s="7"/>
      <c r="B37" s="7"/>
      <c r="C37" s="7"/>
      <c r="D37" s="7"/>
      <c r="E37" s="7"/>
      <c r="F37" s="7"/>
      <c r="G37" s="7"/>
      <c r="H37" s="7"/>
      <c r="I37" s="1" t="str">
        <f t="shared" si="1"/>
        <v/>
      </c>
      <c r="J37" s="1">
        <f t="shared" si="2"/>
        <v>0</v>
      </c>
    </row>
    <row r="38" ht="14.25" customHeight="1">
      <c r="A38" s="7"/>
      <c r="B38" s="7"/>
      <c r="C38" s="7"/>
      <c r="D38" s="7"/>
      <c r="E38" s="7"/>
      <c r="F38" s="7"/>
      <c r="G38" s="7"/>
      <c r="H38" s="7"/>
      <c r="I38" s="1" t="str">
        <f t="shared" si="1"/>
        <v/>
      </c>
      <c r="J38" s="1">
        <f t="shared" si="2"/>
        <v>0</v>
      </c>
    </row>
    <row r="39" ht="14.25" customHeight="1">
      <c r="A39" s="7"/>
      <c r="B39" s="7"/>
      <c r="C39" s="7"/>
      <c r="D39" s="7"/>
      <c r="E39" s="7"/>
      <c r="F39" s="7"/>
      <c r="G39" s="7"/>
      <c r="H39" s="7"/>
      <c r="I39" s="1" t="str">
        <f t="shared" si="1"/>
        <v/>
      </c>
      <c r="J39" s="1">
        <f t="shared" si="2"/>
        <v>0</v>
      </c>
    </row>
    <row r="40" ht="14.25" customHeight="1">
      <c r="A40" s="7"/>
      <c r="B40" s="7"/>
      <c r="C40" s="7"/>
      <c r="D40" s="7"/>
      <c r="E40" s="7"/>
      <c r="F40" s="7"/>
      <c r="G40" s="7"/>
      <c r="H40" s="7"/>
      <c r="I40" s="1" t="str">
        <f t="shared" si="1"/>
        <v/>
      </c>
      <c r="J40" s="1">
        <f t="shared" si="2"/>
        <v>0</v>
      </c>
    </row>
    <row r="41" ht="14.25" customHeight="1">
      <c r="A41" s="7"/>
      <c r="B41" s="7"/>
      <c r="C41" s="7"/>
      <c r="D41" s="7"/>
      <c r="E41" s="7"/>
      <c r="F41" s="7"/>
      <c r="G41" s="7"/>
      <c r="H41" s="7"/>
      <c r="I41" s="1" t="str">
        <f t="shared" si="1"/>
        <v/>
      </c>
      <c r="J41" s="1">
        <f t="shared" si="2"/>
        <v>0</v>
      </c>
    </row>
    <row r="42" ht="14.25" customHeight="1">
      <c r="A42" s="7"/>
      <c r="B42" s="7"/>
      <c r="C42" s="7"/>
      <c r="D42" s="7"/>
      <c r="E42" s="7"/>
      <c r="F42" s="7"/>
      <c r="G42" s="7"/>
      <c r="H42" s="7"/>
      <c r="I42" s="1" t="str">
        <f t="shared" si="1"/>
        <v/>
      </c>
      <c r="J42" s="1">
        <f t="shared" si="2"/>
        <v>0</v>
      </c>
    </row>
    <row r="43" ht="14.25" customHeight="1">
      <c r="A43" s="7"/>
      <c r="B43" s="7"/>
      <c r="C43" s="7"/>
      <c r="D43" s="7"/>
      <c r="E43" s="7"/>
      <c r="F43" s="7"/>
      <c r="G43" s="7"/>
      <c r="H43" s="7"/>
      <c r="I43" s="1" t="str">
        <f t="shared" si="1"/>
        <v/>
      </c>
      <c r="J43" s="1">
        <f t="shared" si="2"/>
        <v>0</v>
      </c>
    </row>
    <row r="44" ht="14.25" customHeight="1">
      <c r="A44" s="7"/>
      <c r="B44" s="7"/>
      <c r="C44" s="7"/>
      <c r="D44" s="7"/>
      <c r="E44" s="7"/>
      <c r="F44" s="7"/>
      <c r="G44" s="7"/>
      <c r="H44" s="7"/>
      <c r="I44" s="1" t="str">
        <f t="shared" si="1"/>
        <v/>
      </c>
      <c r="J44" s="1">
        <f t="shared" si="2"/>
        <v>0</v>
      </c>
    </row>
    <row r="45" ht="14.25" customHeight="1">
      <c r="A45" s="7"/>
      <c r="B45" s="7"/>
      <c r="C45" s="7"/>
      <c r="D45" s="7"/>
      <c r="E45" s="7"/>
      <c r="F45" s="7"/>
      <c r="G45" s="7"/>
      <c r="H45" s="7"/>
      <c r="I45" s="1" t="str">
        <f t="shared" si="1"/>
        <v/>
      </c>
      <c r="J45" s="1">
        <f t="shared" si="2"/>
        <v>0</v>
      </c>
    </row>
    <row r="46" ht="14.25" customHeight="1">
      <c r="A46" s="7"/>
      <c r="B46" s="7"/>
      <c r="C46" s="7"/>
      <c r="D46" s="7"/>
      <c r="E46" s="7"/>
      <c r="F46" s="7"/>
      <c r="G46" s="7"/>
      <c r="H46" s="7"/>
      <c r="I46" s="1" t="str">
        <f t="shared" si="1"/>
        <v/>
      </c>
      <c r="J46" s="1">
        <f t="shared" si="2"/>
        <v>0</v>
      </c>
    </row>
    <row r="47" ht="14.25" customHeight="1">
      <c r="A47" s="7"/>
      <c r="B47" s="7"/>
      <c r="C47" s="7"/>
      <c r="D47" s="7"/>
      <c r="E47" s="7"/>
      <c r="F47" s="7"/>
      <c r="G47" s="7"/>
      <c r="H47" s="7"/>
      <c r="I47" s="1" t="str">
        <f t="shared" si="1"/>
        <v/>
      </c>
      <c r="J47" s="1">
        <f t="shared" si="2"/>
        <v>0</v>
      </c>
    </row>
    <row r="48" ht="14.25" customHeight="1">
      <c r="A48" s="7"/>
      <c r="B48" s="7"/>
      <c r="C48" s="7"/>
      <c r="D48" s="7"/>
      <c r="E48" s="7"/>
      <c r="F48" s="7"/>
      <c r="G48" s="7"/>
      <c r="H48" s="7"/>
      <c r="I48" s="1" t="str">
        <f t="shared" si="1"/>
        <v/>
      </c>
      <c r="J48" s="1">
        <f t="shared" si="2"/>
        <v>0</v>
      </c>
    </row>
    <row r="49" ht="14.25" customHeight="1">
      <c r="A49" s="7"/>
      <c r="B49" s="7"/>
      <c r="C49" s="7"/>
      <c r="D49" s="7"/>
      <c r="E49" s="7"/>
      <c r="F49" s="7"/>
      <c r="G49" s="7"/>
      <c r="H49" s="7"/>
      <c r="I49" s="1" t="str">
        <f t="shared" si="1"/>
        <v/>
      </c>
      <c r="J49" s="1">
        <f t="shared" si="2"/>
        <v>0</v>
      </c>
    </row>
    <row r="50" ht="14.25" customHeight="1">
      <c r="A50" s="7"/>
      <c r="B50" s="7"/>
      <c r="C50" s="7"/>
      <c r="D50" s="7"/>
      <c r="E50" s="7"/>
      <c r="F50" s="7"/>
      <c r="G50" s="7"/>
      <c r="H50" s="7"/>
      <c r="I50" s="1" t="str">
        <f t="shared" si="1"/>
        <v/>
      </c>
      <c r="J50" s="1">
        <f t="shared" si="2"/>
        <v>0</v>
      </c>
    </row>
    <row r="51" ht="14.25" customHeight="1">
      <c r="A51" s="7"/>
      <c r="B51" s="7"/>
      <c r="C51" s="7"/>
      <c r="D51" s="7"/>
      <c r="E51" s="7"/>
      <c r="F51" s="7"/>
      <c r="G51" s="7"/>
      <c r="H51" s="7"/>
      <c r="I51" s="1" t="str">
        <f t="shared" si="1"/>
        <v/>
      </c>
      <c r="J51" s="1">
        <f t="shared" si="2"/>
        <v>0</v>
      </c>
    </row>
    <row r="52" ht="14.25" customHeight="1">
      <c r="A52" s="7"/>
      <c r="B52" s="7"/>
      <c r="C52" s="7"/>
      <c r="D52" s="7"/>
      <c r="E52" s="7"/>
      <c r="F52" s="7"/>
      <c r="G52" s="7"/>
      <c r="H52" s="7"/>
      <c r="I52" s="1" t="str">
        <f t="shared" si="1"/>
        <v/>
      </c>
      <c r="J52" s="1">
        <f t="shared" si="2"/>
        <v>0</v>
      </c>
    </row>
    <row r="53" ht="14.25" customHeight="1">
      <c r="A53" s="7"/>
      <c r="B53" s="7"/>
      <c r="C53" s="7"/>
      <c r="D53" s="7"/>
      <c r="E53" s="7"/>
      <c r="F53" s="7"/>
      <c r="G53" s="7"/>
      <c r="H53" s="7"/>
      <c r="I53" s="1" t="str">
        <f t="shared" si="1"/>
        <v/>
      </c>
      <c r="J53" s="1">
        <f t="shared" si="2"/>
        <v>0</v>
      </c>
    </row>
    <row r="54" ht="14.25" customHeight="1">
      <c r="A54" s="7"/>
      <c r="B54" s="7"/>
      <c r="C54" s="7"/>
      <c r="D54" s="7"/>
      <c r="E54" s="7"/>
      <c r="F54" s="7"/>
      <c r="G54" s="7"/>
      <c r="H54" s="7"/>
      <c r="I54" s="1" t="str">
        <f t="shared" si="1"/>
        <v/>
      </c>
      <c r="J54" s="1">
        <f t="shared" si="2"/>
        <v>0</v>
      </c>
    </row>
    <row r="55" ht="14.25" customHeight="1">
      <c r="A55" s="7"/>
      <c r="B55" s="7"/>
      <c r="C55" s="7"/>
      <c r="D55" s="7"/>
      <c r="E55" s="7"/>
      <c r="F55" s="7"/>
      <c r="G55" s="7"/>
      <c r="H55" s="7"/>
      <c r="I55" s="1" t="str">
        <f t="shared" si="1"/>
        <v/>
      </c>
      <c r="J55" s="1">
        <f t="shared" si="2"/>
        <v>0</v>
      </c>
    </row>
    <row r="56" ht="14.25" customHeight="1">
      <c r="A56" s="7"/>
      <c r="B56" s="7"/>
      <c r="C56" s="7"/>
      <c r="D56" s="7"/>
      <c r="E56" s="7"/>
      <c r="F56" s="7"/>
      <c r="G56" s="7"/>
      <c r="H56" s="7"/>
      <c r="I56" s="1" t="str">
        <f t="shared" si="1"/>
        <v/>
      </c>
      <c r="J56" s="1">
        <f t="shared" si="2"/>
        <v>0</v>
      </c>
    </row>
    <row r="57" ht="14.25" customHeight="1">
      <c r="A57" s="7"/>
      <c r="B57" s="7"/>
      <c r="C57" s="7"/>
      <c r="D57" s="7"/>
      <c r="E57" s="7"/>
      <c r="F57" s="7"/>
      <c r="G57" s="7"/>
      <c r="H57" s="7"/>
      <c r="I57" s="1" t="str">
        <f t="shared" si="1"/>
        <v/>
      </c>
      <c r="J57" s="1">
        <f t="shared" si="2"/>
        <v>0</v>
      </c>
    </row>
    <row r="58" ht="14.25" customHeight="1">
      <c r="A58" s="7"/>
      <c r="B58" s="7"/>
      <c r="C58" s="7"/>
      <c r="D58" s="7"/>
      <c r="E58" s="7"/>
      <c r="F58" s="7"/>
      <c r="G58" s="7"/>
      <c r="H58" s="7"/>
      <c r="I58" s="1" t="str">
        <f t="shared" si="1"/>
        <v/>
      </c>
      <c r="J58" s="1">
        <f t="shared" si="2"/>
        <v>0</v>
      </c>
    </row>
    <row r="59" ht="14.25" customHeight="1">
      <c r="A59" s="7"/>
      <c r="B59" s="7"/>
      <c r="C59" s="7"/>
      <c r="D59" s="7"/>
      <c r="E59" s="7"/>
      <c r="F59" s="7"/>
      <c r="G59" s="7"/>
      <c r="H59" s="7"/>
      <c r="I59" s="1" t="str">
        <f t="shared" si="1"/>
        <v/>
      </c>
      <c r="J59" s="1">
        <f t="shared" si="2"/>
        <v>0</v>
      </c>
    </row>
    <row r="60" ht="14.25" customHeight="1">
      <c r="A60" s="7"/>
      <c r="B60" s="7"/>
      <c r="C60" s="7"/>
      <c r="D60" s="7"/>
      <c r="E60" s="7"/>
      <c r="F60" s="7"/>
      <c r="G60" s="7"/>
      <c r="H60" s="7"/>
      <c r="I60" s="1" t="str">
        <f t="shared" si="1"/>
        <v/>
      </c>
      <c r="J60" s="1">
        <f t="shared" si="2"/>
        <v>0</v>
      </c>
    </row>
    <row r="61" ht="14.25" customHeight="1">
      <c r="A61" s="7"/>
      <c r="B61" s="7"/>
      <c r="C61" s="7"/>
      <c r="D61" s="7"/>
      <c r="E61" s="7"/>
      <c r="F61" s="7"/>
      <c r="G61" s="7"/>
      <c r="H61" s="7"/>
      <c r="I61" s="1" t="str">
        <f t="shared" si="1"/>
        <v/>
      </c>
      <c r="J61" s="1">
        <f t="shared" si="2"/>
        <v>0</v>
      </c>
    </row>
    <row r="62" ht="14.25" customHeight="1">
      <c r="A62" s="7"/>
      <c r="B62" s="7"/>
      <c r="C62" s="7"/>
      <c r="D62" s="7"/>
      <c r="E62" s="7"/>
      <c r="F62" s="7"/>
      <c r="G62" s="7"/>
      <c r="H62" s="7"/>
      <c r="I62" s="1" t="str">
        <f t="shared" si="1"/>
        <v/>
      </c>
      <c r="J62" s="1">
        <f t="shared" si="2"/>
        <v>0</v>
      </c>
    </row>
    <row r="63" ht="14.25" customHeight="1">
      <c r="A63" s="7"/>
      <c r="B63" s="7"/>
      <c r="C63" s="7"/>
      <c r="D63" s="7"/>
      <c r="E63" s="7"/>
      <c r="F63" s="7"/>
      <c r="G63" s="7"/>
      <c r="H63" s="7"/>
      <c r="I63" s="1" t="str">
        <f t="shared" si="1"/>
        <v/>
      </c>
      <c r="J63" s="1">
        <f t="shared" si="2"/>
        <v>0</v>
      </c>
    </row>
    <row r="64" ht="14.25" customHeight="1">
      <c r="A64" s="7"/>
      <c r="B64" s="7"/>
      <c r="C64" s="7"/>
      <c r="D64" s="7"/>
      <c r="E64" s="7"/>
      <c r="F64" s="7"/>
      <c r="G64" s="7"/>
      <c r="H64" s="7"/>
      <c r="I64" s="1" t="str">
        <f t="shared" si="1"/>
        <v/>
      </c>
      <c r="J64" s="1">
        <f t="shared" si="2"/>
        <v>0</v>
      </c>
    </row>
    <row r="65" ht="14.25" customHeight="1">
      <c r="A65" s="7"/>
      <c r="B65" s="7"/>
      <c r="C65" s="7"/>
      <c r="D65" s="7"/>
      <c r="E65" s="7"/>
      <c r="F65" s="7"/>
      <c r="G65" s="7"/>
      <c r="H65" s="7"/>
      <c r="I65" s="1" t="str">
        <f t="shared" si="1"/>
        <v/>
      </c>
      <c r="J65" s="1">
        <f t="shared" si="2"/>
        <v>0</v>
      </c>
    </row>
    <row r="66" ht="14.25" customHeight="1">
      <c r="A66" s="7"/>
      <c r="B66" s="7"/>
      <c r="C66" s="7"/>
      <c r="D66" s="7"/>
      <c r="E66" s="7"/>
      <c r="F66" s="7"/>
      <c r="G66" s="7"/>
      <c r="H66" s="7"/>
      <c r="I66" s="1" t="str">
        <f t="shared" si="1"/>
        <v/>
      </c>
      <c r="J66" s="1">
        <f t="shared" si="2"/>
        <v>0</v>
      </c>
    </row>
    <row r="67" ht="14.25" customHeight="1">
      <c r="A67" s="7"/>
      <c r="B67" s="7"/>
      <c r="C67" s="7"/>
      <c r="D67" s="7"/>
      <c r="E67" s="7"/>
      <c r="F67" s="7"/>
      <c r="G67" s="7"/>
      <c r="H67" s="7"/>
      <c r="I67" s="1" t="str">
        <f t="shared" si="1"/>
        <v/>
      </c>
      <c r="J67" s="1">
        <f t="shared" si="2"/>
        <v>0</v>
      </c>
    </row>
    <row r="68" ht="14.25" customHeight="1">
      <c r="A68" s="7"/>
      <c r="B68" s="7"/>
      <c r="C68" s="7"/>
      <c r="D68" s="7"/>
      <c r="E68" s="7"/>
      <c r="F68" s="7"/>
      <c r="G68" s="7"/>
      <c r="H68" s="7"/>
      <c r="I68" s="1" t="str">
        <f t="shared" si="1"/>
        <v/>
      </c>
      <c r="J68" s="1">
        <f t="shared" si="2"/>
        <v>0</v>
      </c>
    </row>
    <row r="69" ht="14.25" customHeight="1">
      <c r="A69" s="7"/>
      <c r="B69" s="7"/>
      <c r="C69" s="7"/>
      <c r="D69" s="7"/>
      <c r="E69" s="7"/>
      <c r="F69" s="7"/>
      <c r="G69" s="7"/>
      <c r="H69" s="7"/>
      <c r="I69" s="1" t="str">
        <f t="shared" si="1"/>
        <v/>
      </c>
      <c r="J69" s="1">
        <f t="shared" si="2"/>
        <v>0</v>
      </c>
    </row>
    <row r="70" ht="14.25" customHeight="1">
      <c r="A70" s="7"/>
      <c r="B70" s="7"/>
      <c r="C70" s="7"/>
      <c r="D70" s="7"/>
      <c r="E70" s="7"/>
      <c r="F70" s="7"/>
      <c r="G70" s="7"/>
      <c r="H70" s="7"/>
      <c r="I70" s="1" t="str">
        <f t="shared" si="1"/>
        <v/>
      </c>
      <c r="J70" s="1">
        <f t="shared" si="2"/>
        <v>0</v>
      </c>
    </row>
    <row r="71" ht="14.25" customHeight="1">
      <c r="A71" s="7"/>
      <c r="B71" s="7"/>
      <c r="C71" s="7"/>
      <c r="D71" s="7"/>
      <c r="E71" s="7"/>
      <c r="F71" s="7"/>
      <c r="G71" s="7"/>
      <c r="H71" s="7"/>
      <c r="I71" s="1" t="str">
        <f t="shared" si="1"/>
        <v/>
      </c>
      <c r="J71" s="1">
        <f t="shared" si="2"/>
        <v>0</v>
      </c>
    </row>
    <row r="72" ht="14.25" customHeight="1">
      <c r="A72" s="7"/>
      <c r="B72" s="7"/>
      <c r="C72" s="7"/>
      <c r="D72" s="7"/>
      <c r="E72" s="7"/>
      <c r="F72" s="7"/>
      <c r="G72" s="7"/>
      <c r="H72" s="7"/>
      <c r="I72" s="1" t="str">
        <f t="shared" si="1"/>
        <v/>
      </c>
      <c r="J72" s="1">
        <f t="shared" si="2"/>
        <v>0</v>
      </c>
    </row>
    <row r="73" ht="14.25" customHeight="1">
      <c r="A73" s="7"/>
      <c r="B73" s="7"/>
      <c r="C73" s="7"/>
      <c r="D73" s="7"/>
      <c r="E73" s="7"/>
      <c r="F73" s="7"/>
      <c r="G73" s="7"/>
      <c r="H73" s="7"/>
      <c r="I73" s="1" t="str">
        <f t="shared" si="1"/>
        <v/>
      </c>
      <c r="J73" s="1">
        <f t="shared" si="2"/>
        <v>0</v>
      </c>
    </row>
    <row r="74" ht="14.25" customHeight="1">
      <c r="A74" s="7"/>
      <c r="B74" s="7"/>
      <c r="C74" s="7"/>
      <c r="D74" s="7"/>
      <c r="E74" s="7"/>
      <c r="F74" s="7"/>
      <c r="G74" s="7"/>
      <c r="H74" s="7"/>
      <c r="I74" s="1" t="str">
        <f t="shared" si="1"/>
        <v/>
      </c>
      <c r="J74" s="1">
        <f t="shared" si="2"/>
        <v>0</v>
      </c>
    </row>
    <row r="75" ht="14.25" customHeight="1">
      <c r="A75" s="7"/>
      <c r="B75" s="7"/>
      <c r="C75" s="7"/>
      <c r="D75" s="7"/>
      <c r="E75" s="7"/>
      <c r="F75" s="7"/>
      <c r="G75" s="7"/>
      <c r="H75" s="7"/>
      <c r="I75" s="1" t="str">
        <f t="shared" si="1"/>
        <v/>
      </c>
      <c r="J75" s="1">
        <f t="shared" si="2"/>
        <v>0</v>
      </c>
    </row>
    <row r="76" ht="14.25" customHeight="1">
      <c r="A76" s="7"/>
      <c r="B76" s="7"/>
      <c r="C76" s="7"/>
      <c r="D76" s="7"/>
      <c r="E76" s="7"/>
      <c r="F76" s="7"/>
      <c r="G76" s="7"/>
      <c r="H76" s="7"/>
      <c r="I76" s="1" t="str">
        <f t="shared" si="1"/>
        <v/>
      </c>
      <c r="J76" s="1">
        <f t="shared" si="2"/>
        <v>0</v>
      </c>
    </row>
    <row r="77" ht="14.25" customHeight="1">
      <c r="A77" s="7"/>
      <c r="B77" s="7"/>
      <c r="C77" s="7"/>
      <c r="D77" s="7"/>
      <c r="E77" s="7"/>
      <c r="F77" s="7"/>
      <c r="G77" s="7"/>
      <c r="H77" s="7"/>
      <c r="I77" s="1" t="str">
        <f t="shared" si="1"/>
        <v/>
      </c>
      <c r="J77" s="1">
        <f t="shared" si="2"/>
        <v>0</v>
      </c>
    </row>
    <row r="78" ht="14.25" customHeight="1">
      <c r="A78" s="7"/>
      <c r="B78" s="7"/>
      <c r="C78" s="7"/>
      <c r="D78" s="7"/>
      <c r="E78" s="7"/>
      <c r="F78" s="7"/>
      <c r="G78" s="7"/>
      <c r="H78" s="7"/>
      <c r="I78" s="1" t="str">
        <f t="shared" si="1"/>
        <v/>
      </c>
      <c r="J78" s="1">
        <f t="shared" si="2"/>
        <v>0</v>
      </c>
    </row>
    <row r="79" ht="14.25" customHeight="1">
      <c r="A79" s="7"/>
      <c r="B79" s="7"/>
      <c r="C79" s="7"/>
      <c r="D79" s="7"/>
      <c r="E79" s="7"/>
      <c r="F79" s="7"/>
      <c r="G79" s="7"/>
      <c r="H79" s="7"/>
      <c r="I79" s="1" t="str">
        <f t="shared" si="1"/>
        <v/>
      </c>
      <c r="J79" s="1">
        <f t="shared" si="2"/>
        <v>0</v>
      </c>
    </row>
    <row r="80" ht="14.25" customHeight="1">
      <c r="A80" s="7"/>
      <c r="B80" s="7"/>
      <c r="C80" s="7"/>
      <c r="D80" s="7"/>
      <c r="E80" s="7"/>
      <c r="F80" s="7"/>
      <c r="G80" s="7"/>
      <c r="H80" s="7"/>
      <c r="I80" s="1" t="str">
        <f t="shared" si="1"/>
        <v/>
      </c>
      <c r="J80" s="1">
        <f t="shared" si="2"/>
        <v>0</v>
      </c>
    </row>
    <row r="81" ht="14.25" customHeight="1">
      <c r="A81" s="7"/>
      <c r="B81" s="7"/>
      <c r="C81" s="7"/>
      <c r="D81" s="7"/>
      <c r="E81" s="7"/>
      <c r="F81" s="7"/>
      <c r="G81" s="7"/>
      <c r="H81" s="7"/>
      <c r="I81" s="1" t="str">
        <f t="shared" si="1"/>
        <v/>
      </c>
      <c r="J81" s="1">
        <f t="shared" si="2"/>
        <v>0</v>
      </c>
    </row>
    <row r="82" ht="14.25" customHeight="1">
      <c r="A82" s="7"/>
      <c r="B82" s="7"/>
      <c r="C82" s="7"/>
      <c r="D82" s="7"/>
      <c r="E82" s="7"/>
      <c r="F82" s="7"/>
      <c r="G82" s="7"/>
      <c r="H82" s="7"/>
      <c r="I82" s="1" t="str">
        <f t="shared" si="1"/>
        <v/>
      </c>
      <c r="J82" s="1">
        <f t="shared" si="2"/>
        <v>0</v>
      </c>
    </row>
    <row r="83" ht="14.25" customHeight="1">
      <c r="A83" s="7"/>
      <c r="B83" s="7"/>
      <c r="C83" s="7"/>
      <c r="D83" s="7"/>
      <c r="E83" s="7"/>
      <c r="F83" s="7"/>
      <c r="G83" s="7"/>
      <c r="H83" s="7"/>
      <c r="I83" s="1" t="str">
        <f t="shared" si="1"/>
        <v/>
      </c>
      <c r="J83" s="1">
        <f t="shared" si="2"/>
        <v>0</v>
      </c>
    </row>
    <row r="84" ht="14.25" customHeight="1">
      <c r="A84" s="7"/>
      <c r="B84" s="7"/>
      <c r="C84" s="7"/>
      <c r="D84" s="7"/>
      <c r="E84" s="7"/>
      <c r="F84" s="7"/>
      <c r="G84" s="7"/>
      <c r="H84" s="7"/>
      <c r="I84" s="1" t="str">
        <f t="shared" si="1"/>
        <v/>
      </c>
      <c r="J84" s="1">
        <f t="shared" si="2"/>
        <v>0</v>
      </c>
    </row>
    <row r="85" ht="14.25" customHeight="1">
      <c r="A85" s="7"/>
      <c r="B85" s="7"/>
      <c r="C85" s="7"/>
      <c r="D85" s="7"/>
      <c r="E85" s="7"/>
      <c r="F85" s="7"/>
      <c r="G85" s="7"/>
      <c r="H85" s="7"/>
      <c r="I85" s="1" t="str">
        <f t="shared" si="1"/>
        <v/>
      </c>
      <c r="J85" s="1">
        <f t="shared" si="2"/>
        <v>0</v>
      </c>
    </row>
    <row r="86" ht="14.25" customHeight="1">
      <c r="A86" s="7"/>
      <c r="B86" s="7"/>
      <c r="C86" s="7"/>
      <c r="D86" s="7"/>
      <c r="E86" s="7"/>
      <c r="F86" s="7"/>
      <c r="G86" s="7"/>
      <c r="H86" s="7"/>
      <c r="I86" s="1" t="str">
        <f t="shared" si="1"/>
        <v/>
      </c>
      <c r="J86" s="1">
        <f t="shared" si="2"/>
        <v>0</v>
      </c>
    </row>
    <row r="87" ht="14.25" customHeight="1">
      <c r="A87" s="7"/>
      <c r="B87" s="7"/>
      <c r="C87" s="7"/>
      <c r="D87" s="7"/>
      <c r="E87" s="7"/>
      <c r="F87" s="7"/>
      <c r="G87" s="7"/>
      <c r="H87" s="7"/>
      <c r="I87" s="1" t="str">
        <f t="shared" si="1"/>
        <v/>
      </c>
      <c r="J87" s="1">
        <f t="shared" si="2"/>
        <v>0</v>
      </c>
    </row>
    <row r="88" ht="14.25" customHeight="1">
      <c r="A88" s="7"/>
      <c r="B88" s="7"/>
      <c r="C88" s="7"/>
      <c r="D88" s="7"/>
      <c r="E88" s="7"/>
      <c r="F88" s="7"/>
      <c r="G88" s="7"/>
      <c r="H88" s="7"/>
      <c r="I88" s="1" t="str">
        <f t="shared" si="1"/>
        <v/>
      </c>
      <c r="J88" s="1">
        <f t="shared" si="2"/>
        <v>0</v>
      </c>
    </row>
    <row r="89" ht="14.25" customHeight="1">
      <c r="A89" s="7"/>
      <c r="B89" s="7"/>
      <c r="C89" s="7"/>
      <c r="D89" s="7"/>
      <c r="E89" s="7"/>
      <c r="F89" s="7"/>
      <c r="G89" s="7"/>
      <c r="H89" s="7"/>
      <c r="I89" s="1" t="str">
        <f t="shared" si="1"/>
        <v/>
      </c>
      <c r="J89" s="1">
        <f t="shared" si="2"/>
        <v>0</v>
      </c>
    </row>
    <row r="90" ht="14.25" customHeight="1">
      <c r="A90" s="7"/>
      <c r="B90" s="7"/>
      <c r="C90" s="7"/>
      <c r="D90" s="7"/>
      <c r="E90" s="7"/>
      <c r="F90" s="7"/>
      <c r="G90" s="7"/>
      <c r="H90" s="7"/>
      <c r="I90" s="1" t="str">
        <f t="shared" si="1"/>
        <v/>
      </c>
      <c r="J90" s="1">
        <f t="shared" si="2"/>
        <v>0</v>
      </c>
    </row>
    <row r="91" ht="14.25" customHeight="1">
      <c r="A91" s="7"/>
      <c r="B91" s="7"/>
      <c r="C91" s="7"/>
      <c r="D91" s="7"/>
      <c r="E91" s="7"/>
      <c r="F91" s="7"/>
      <c r="G91" s="7"/>
      <c r="H91" s="7"/>
      <c r="I91" s="1" t="str">
        <f t="shared" si="1"/>
        <v/>
      </c>
      <c r="J91" s="1">
        <f t="shared" si="2"/>
        <v>0</v>
      </c>
    </row>
    <row r="92" ht="14.25" customHeight="1">
      <c r="A92" s="7"/>
      <c r="B92" s="7"/>
      <c r="C92" s="7"/>
      <c r="D92" s="7"/>
      <c r="E92" s="7"/>
      <c r="F92" s="7"/>
      <c r="G92" s="7"/>
      <c r="H92" s="7"/>
      <c r="I92" s="1" t="str">
        <f t="shared" si="1"/>
        <v/>
      </c>
      <c r="J92" s="1">
        <f t="shared" si="2"/>
        <v>0</v>
      </c>
    </row>
    <row r="93" ht="14.25" customHeight="1">
      <c r="A93" s="7"/>
      <c r="B93" s="7"/>
      <c r="C93" s="7"/>
      <c r="D93" s="7"/>
      <c r="E93" s="7"/>
      <c r="F93" s="7"/>
      <c r="G93" s="7"/>
      <c r="H93" s="7"/>
      <c r="I93" s="1" t="str">
        <f t="shared" si="1"/>
        <v/>
      </c>
      <c r="J93" s="1">
        <f t="shared" si="2"/>
        <v>0</v>
      </c>
    </row>
    <row r="94" ht="14.25" customHeight="1">
      <c r="A94" s="7"/>
      <c r="B94" s="7"/>
      <c r="C94" s="7"/>
      <c r="D94" s="7"/>
      <c r="E94" s="7"/>
      <c r="F94" s="7"/>
      <c r="G94" s="7"/>
      <c r="H94" s="7"/>
      <c r="I94" s="1" t="str">
        <f t="shared" si="1"/>
        <v/>
      </c>
      <c r="J94" s="1">
        <f t="shared" si="2"/>
        <v>0</v>
      </c>
    </row>
    <row r="95" ht="14.25" customHeight="1">
      <c r="A95" s="7"/>
      <c r="B95" s="7"/>
      <c r="C95" s="7"/>
      <c r="D95" s="7"/>
      <c r="E95" s="7"/>
      <c r="F95" s="7"/>
      <c r="G95" s="7"/>
      <c r="H95" s="7"/>
      <c r="I95" s="1" t="str">
        <f t="shared" si="1"/>
        <v/>
      </c>
      <c r="J95" s="1">
        <f t="shared" si="2"/>
        <v>0</v>
      </c>
    </row>
    <row r="96" ht="14.25" customHeight="1">
      <c r="A96" s="7"/>
      <c r="B96" s="7"/>
      <c r="C96" s="7"/>
      <c r="D96" s="7"/>
      <c r="E96" s="7"/>
      <c r="F96" s="7"/>
      <c r="G96" s="7"/>
      <c r="H96" s="7"/>
      <c r="I96" s="1" t="str">
        <f t="shared" si="1"/>
        <v/>
      </c>
      <c r="J96" s="1">
        <f t="shared" si="2"/>
        <v>0</v>
      </c>
    </row>
    <row r="97" ht="14.25" customHeight="1">
      <c r="A97" s="7"/>
      <c r="B97" s="7"/>
      <c r="C97" s="7"/>
      <c r="D97" s="7"/>
      <c r="E97" s="7"/>
      <c r="F97" s="7"/>
      <c r="G97" s="7"/>
      <c r="H97" s="7"/>
      <c r="I97" s="1" t="str">
        <f t="shared" si="1"/>
        <v/>
      </c>
      <c r="J97" s="1">
        <f t="shared" si="2"/>
        <v>0</v>
      </c>
    </row>
    <row r="98" ht="14.25" customHeight="1">
      <c r="A98" s="7"/>
      <c r="B98" s="7"/>
      <c r="C98" s="7"/>
      <c r="D98" s="7"/>
      <c r="E98" s="7"/>
      <c r="F98" s="7"/>
      <c r="G98" s="7"/>
      <c r="H98" s="7"/>
      <c r="I98" s="1" t="str">
        <f t="shared" si="1"/>
        <v/>
      </c>
      <c r="J98" s="1">
        <f t="shared" si="2"/>
        <v>0</v>
      </c>
    </row>
    <row r="99" ht="14.25" customHeight="1">
      <c r="A99" s="7"/>
      <c r="B99" s="7"/>
      <c r="C99" s="7"/>
      <c r="D99" s="7"/>
      <c r="E99" s="7"/>
      <c r="F99" s="7"/>
      <c r="G99" s="7"/>
      <c r="H99" s="7"/>
      <c r="I99" s="1" t="str">
        <f t="shared" si="1"/>
        <v/>
      </c>
      <c r="J99" s="1">
        <f t="shared" si="2"/>
        <v>0</v>
      </c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1" t="str">
        <f t="shared" si="1"/>
        <v/>
      </c>
      <c r="J100" s="1">
        <f t="shared" si="2"/>
        <v>0</v>
      </c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1" t="str">
        <f t="shared" si="1"/>
        <v/>
      </c>
      <c r="J101" s="1">
        <f t="shared" si="2"/>
        <v>0</v>
      </c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1" t="str">
        <f t="shared" si="1"/>
        <v/>
      </c>
      <c r="J102" s="1">
        <f t="shared" si="2"/>
        <v>0</v>
      </c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1" t="str">
        <f t="shared" si="1"/>
        <v/>
      </c>
      <c r="J103" s="1">
        <f t="shared" si="2"/>
        <v>0</v>
      </c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1" t="str">
        <f t="shared" si="1"/>
        <v/>
      </c>
      <c r="J104" s="1">
        <f t="shared" si="2"/>
        <v>0</v>
      </c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1" t="str">
        <f t="shared" si="1"/>
        <v/>
      </c>
      <c r="J105" s="1">
        <f t="shared" si="2"/>
        <v>0</v>
      </c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1" t="str">
        <f t="shared" si="1"/>
        <v/>
      </c>
      <c r="J106" s="1">
        <f t="shared" si="2"/>
        <v>0</v>
      </c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1" t="str">
        <f t="shared" si="1"/>
        <v/>
      </c>
      <c r="J107" s="1">
        <f t="shared" si="2"/>
        <v>0</v>
      </c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1" t="str">
        <f t="shared" si="1"/>
        <v/>
      </c>
      <c r="J108" s="1">
        <f t="shared" si="2"/>
        <v>0</v>
      </c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1" t="str">
        <f t="shared" si="1"/>
        <v/>
      </c>
      <c r="J109" s="1">
        <f t="shared" si="2"/>
        <v>0</v>
      </c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1" t="str">
        <f t="shared" si="1"/>
        <v/>
      </c>
      <c r="J110" s="1">
        <f t="shared" si="2"/>
        <v>0</v>
      </c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1" t="str">
        <f t="shared" si="1"/>
        <v/>
      </c>
      <c r="J111" s="1">
        <f t="shared" si="2"/>
        <v>0</v>
      </c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1" t="str">
        <f t="shared" si="1"/>
        <v/>
      </c>
      <c r="J112" s="1">
        <f t="shared" si="2"/>
        <v>0</v>
      </c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1" t="str">
        <f t="shared" si="1"/>
        <v/>
      </c>
      <c r="J113" s="1">
        <f t="shared" si="2"/>
        <v>0</v>
      </c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1" t="str">
        <f t="shared" si="1"/>
        <v/>
      </c>
      <c r="J114" s="1">
        <f t="shared" si="2"/>
        <v>0</v>
      </c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1" t="str">
        <f t="shared" si="1"/>
        <v/>
      </c>
      <c r="J115" s="1">
        <f t="shared" si="2"/>
        <v>0</v>
      </c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1" t="str">
        <f t="shared" si="1"/>
        <v/>
      </c>
      <c r="J116" s="1">
        <f t="shared" si="2"/>
        <v>0</v>
      </c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1" t="str">
        <f t="shared" si="1"/>
        <v/>
      </c>
      <c r="J117" s="1">
        <f t="shared" si="2"/>
        <v>0</v>
      </c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1" t="str">
        <f t="shared" si="1"/>
        <v/>
      </c>
      <c r="J118" s="1">
        <f t="shared" si="2"/>
        <v>0</v>
      </c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1" t="str">
        <f t="shared" si="1"/>
        <v/>
      </c>
      <c r="J119" s="1">
        <f t="shared" si="2"/>
        <v>0</v>
      </c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1" t="str">
        <f t="shared" si="1"/>
        <v/>
      </c>
      <c r="J120" s="1">
        <f t="shared" si="2"/>
        <v>0</v>
      </c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1" t="str">
        <f t="shared" si="1"/>
        <v/>
      </c>
      <c r="J121" s="1">
        <f t="shared" si="2"/>
        <v>0</v>
      </c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1" t="str">
        <f t="shared" si="1"/>
        <v/>
      </c>
      <c r="J122" s="1">
        <f t="shared" si="2"/>
        <v>0</v>
      </c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1" t="str">
        <f t="shared" si="1"/>
        <v/>
      </c>
      <c r="J123" s="1">
        <f t="shared" si="2"/>
        <v>0</v>
      </c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1" t="str">
        <f t="shared" si="1"/>
        <v/>
      </c>
      <c r="J124" s="1">
        <f t="shared" si="2"/>
        <v>0</v>
      </c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1" t="str">
        <f t="shared" si="1"/>
        <v/>
      </c>
      <c r="J125" s="1">
        <f t="shared" si="2"/>
        <v>0</v>
      </c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1" t="str">
        <f t="shared" si="1"/>
        <v/>
      </c>
      <c r="J126" s="1">
        <f t="shared" si="2"/>
        <v>0</v>
      </c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1" t="str">
        <f t="shared" si="1"/>
        <v/>
      </c>
      <c r="J127" s="1">
        <f t="shared" si="2"/>
        <v>0</v>
      </c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1" t="str">
        <f t="shared" si="1"/>
        <v/>
      </c>
      <c r="J128" s="1">
        <f t="shared" si="2"/>
        <v>0</v>
      </c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1" t="str">
        <f t="shared" si="1"/>
        <v/>
      </c>
      <c r="J129" s="1">
        <f t="shared" si="2"/>
        <v>0</v>
      </c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1" t="str">
        <f t="shared" si="1"/>
        <v/>
      </c>
      <c r="J130" s="1">
        <f t="shared" si="2"/>
        <v>0</v>
      </c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1" t="str">
        <f t="shared" si="1"/>
        <v/>
      </c>
      <c r="J131" s="1">
        <f t="shared" si="2"/>
        <v>0</v>
      </c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1" t="str">
        <f t="shared" si="1"/>
        <v/>
      </c>
      <c r="J132" s="1">
        <f t="shared" si="2"/>
        <v>0</v>
      </c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1" t="str">
        <f t="shared" si="1"/>
        <v/>
      </c>
      <c r="J133" s="1">
        <f t="shared" si="2"/>
        <v>0</v>
      </c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1" t="str">
        <f t="shared" si="1"/>
        <v/>
      </c>
      <c r="J134" s="1">
        <f t="shared" si="2"/>
        <v>0</v>
      </c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1" t="str">
        <f t="shared" si="1"/>
        <v/>
      </c>
      <c r="J135" s="1">
        <f t="shared" si="2"/>
        <v>0</v>
      </c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1" t="str">
        <f t="shared" si="1"/>
        <v/>
      </c>
      <c r="J136" s="1">
        <f t="shared" si="2"/>
        <v>0</v>
      </c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1" t="str">
        <f t="shared" si="1"/>
        <v/>
      </c>
      <c r="J137" s="1">
        <f t="shared" si="2"/>
        <v>0</v>
      </c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1" t="str">
        <f t="shared" si="1"/>
        <v/>
      </c>
      <c r="J138" s="1">
        <f t="shared" si="2"/>
        <v>0</v>
      </c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1" t="str">
        <f t="shared" si="1"/>
        <v/>
      </c>
      <c r="J139" s="1">
        <f t="shared" si="2"/>
        <v>0</v>
      </c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1" t="str">
        <f t="shared" si="1"/>
        <v/>
      </c>
      <c r="J140" s="1">
        <f t="shared" si="2"/>
        <v>0</v>
      </c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1" t="str">
        <f t="shared" si="1"/>
        <v/>
      </c>
      <c r="J141" s="1">
        <f t="shared" si="2"/>
        <v>0</v>
      </c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1" t="str">
        <f t="shared" si="1"/>
        <v/>
      </c>
      <c r="J142" s="1">
        <f t="shared" si="2"/>
        <v>0</v>
      </c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1" t="str">
        <f t="shared" si="1"/>
        <v/>
      </c>
      <c r="J143" s="1">
        <f t="shared" si="2"/>
        <v>0</v>
      </c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1" t="str">
        <f t="shared" si="1"/>
        <v/>
      </c>
      <c r="J144" s="1">
        <f t="shared" si="2"/>
        <v>0</v>
      </c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1" t="str">
        <f t="shared" si="1"/>
        <v/>
      </c>
      <c r="J145" s="1">
        <f t="shared" si="2"/>
        <v>0</v>
      </c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1" t="str">
        <f t="shared" si="1"/>
        <v/>
      </c>
      <c r="J146" s="1">
        <f t="shared" si="2"/>
        <v>0</v>
      </c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1" t="str">
        <f t="shared" si="1"/>
        <v/>
      </c>
      <c r="J147" s="1">
        <f t="shared" si="2"/>
        <v>0</v>
      </c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1" t="str">
        <f t="shared" si="1"/>
        <v/>
      </c>
      <c r="J148" s="1">
        <f t="shared" si="2"/>
        <v>0</v>
      </c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1" t="str">
        <f t="shared" si="1"/>
        <v/>
      </c>
      <c r="J149" s="1">
        <f t="shared" si="2"/>
        <v>0</v>
      </c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1" t="str">
        <f t="shared" si="1"/>
        <v/>
      </c>
      <c r="J150" s="1">
        <f t="shared" si="2"/>
        <v>0</v>
      </c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1" t="str">
        <f t="shared" si="1"/>
        <v/>
      </c>
      <c r="J151" s="1">
        <f t="shared" si="2"/>
        <v>0</v>
      </c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1" t="str">
        <f t="shared" si="1"/>
        <v/>
      </c>
      <c r="J152" s="1">
        <f t="shared" si="2"/>
        <v>0</v>
      </c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1" t="str">
        <f t="shared" si="1"/>
        <v/>
      </c>
      <c r="J153" s="1">
        <f t="shared" si="2"/>
        <v>0</v>
      </c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1" t="str">
        <f t="shared" si="1"/>
        <v/>
      </c>
      <c r="J154" s="1">
        <f t="shared" si="2"/>
        <v>0</v>
      </c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1" t="str">
        <f t="shared" si="1"/>
        <v/>
      </c>
      <c r="J155" s="1">
        <f t="shared" si="2"/>
        <v>0</v>
      </c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1" t="str">
        <f t="shared" si="1"/>
        <v/>
      </c>
      <c r="J156" s="1">
        <f t="shared" si="2"/>
        <v>0</v>
      </c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1" t="str">
        <f t="shared" si="1"/>
        <v/>
      </c>
      <c r="J157" s="1">
        <f t="shared" si="2"/>
        <v>0</v>
      </c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1" t="str">
        <f t="shared" si="1"/>
        <v/>
      </c>
      <c r="J158" s="1">
        <f t="shared" si="2"/>
        <v>0</v>
      </c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1" t="str">
        <f t="shared" si="1"/>
        <v/>
      </c>
      <c r="J159" s="1">
        <f t="shared" si="2"/>
        <v>0</v>
      </c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1" t="str">
        <f t="shared" si="1"/>
        <v/>
      </c>
      <c r="J160" s="1">
        <f t="shared" si="2"/>
        <v>0</v>
      </c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1" t="str">
        <f t="shared" si="1"/>
        <v/>
      </c>
      <c r="J161" s="1">
        <f t="shared" si="2"/>
        <v>0</v>
      </c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1" t="str">
        <f t="shared" si="1"/>
        <v/>
      </c>
      <c r="J162" s="1">
        <f t="shared" si="2"/>
        <v>0</v>
      </c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1" t="str">
        <f t="shared" si="1"/>
        <v/>
      </c>
      <c r="J163" s="1">
        <f t="shared" si="2"/>
        <v>0</v>
      </c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1" t="str">
        <f t="shared" si="1"/>
        <v/>
      </c>
      <c r="J164" s="1">
        <f t="shared" si="2"/>
        <v>0</v>
      </c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1" t="str">
        <f t="shared" si="1"/>
        <v/>
      </c>
      <c r="J165" s="1">
        <f t="shared" si="2"/>
        <v>0</v>
      </c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1" t="str">
        <f t="shared" si="1"/>
        <v/>
      </c>
      <c r="J166" s="1">
        <f t="shared" si="2"/>
        <v>0</v>
      </c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1" t="str">
        <f t="shared" si="1"/>
        <v/>
      </c>
      <c r="J167" s="1">
        <f t="shared" si="2"/>
        <v>0</v>
      </c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1" t="str">
        <f t="shared" si="1"/>
        <v/>
      </c>
      <c r="J168" s="1">
        <f t="shared" si="2"/>
        <v>0</v>
      </c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1" t="str">
        <f t="shared" si="1"/>
        <v/>
      </c>
      <c r="J169" s="1">
        <f t="shared" si="2"/>
        <v>0</v>
      </c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1" t="str">
        <f t="shared" si="1"/>
        <v/>
      </c>
      <c r="J170" s="1">
        <f t="shared" si="2"/>
        <v>0</v>
      </c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1" t="str">
        <f t="shared" si="1"/>
        <v/>
      </c>
      <c r="J171" s="1">
        <f t="shared" si="2"/>
        <v>0</v>
      </c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1" t="str">
        <f t="shared" si="1"/>
        <v/>
      </c>
      <c r="J172" s="1">
        <f t="shared" si="2"/>
        <v>0</v>
      </c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1" t="str">
        <f t="shared" si="1"/>
        <v/>
      </c>
      <c r="J173" s="1">
        <f t="shared" si="2"/>
        <v>0</v>
      </c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1" t="str">
        <f t="shared" si="1"/>
        <v/>
      </c>
      <c r="J174" s="1">
        <f t="shared" si="2"/>
        <v>0</v>
      </c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1" t="str">
        <f t="shared" si="1"/>
        <v/>
      </c>
      <c r="J175" s="1">
        <f t="shared" si="2"/>
        <v>0</v>
      </c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1" t="str">
        <f t="shared" si="1"/>
        <v/>
      </c>
      <c r="J176" s="1">
        <f t="shared" si="2"/>
        <v>0</v>
      </c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1" t="str">
        <f t="shared" si="1"/>
        <v/>
      </c>
      <c r="J177" s="1">
        <f t="shared" si="2"/>
        <v>0</v>
      </c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1" t="str">
        <f t="shared" si="1"/>
        <v/>
      </c>
      <c r="J178" s="1">
        <f t="shared" si="2"/>
        <v>0</v>
      </c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1" t="str">
        <f t="shared" si="1"/>
        <v/>
      </c>
      <c r="J179" s="1">
        <f t="shared" si="2"/>
        <v>0</v>
      </c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1" t="str">
        <f t="shared" si="1"/>
        <v/>
      </c>
      <c r="J180" s="1">
        <f t="shared" si="2"/>
        <v>0</v>
      </c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1" t="str">
        <f t="shared" si="1"/>
        <v/>
      </c>
      <c r="J181" s="1">
        <f t="shared" si="2"/>
        <v>0</v>
      </c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1" t="str">
        <f t="shared" si="1"/>
        <v/>
      </c>
      <c r="J182" s="1">
        <f t="shared" si="2"/>
        <v>0</v>
      </c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1" t="str">
        <f t="shared" si="1"/>
        <v/>
      </c>
      <c r="J183" s="1">
        <f t="shared" si="2"/>
        <v>0</v>
      </c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1" t="str">
        <f t="shared" si="1"/>
        <v/>
      </c>
      <c r="J184" s="1">
        <f t="shared" si="2"/>
        <v>0</v>
      </c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1" t="str">
        <f t="shared" si="1"/>
        <v/>
      </c>
      <c r="J185" s="1">
        <f t="shared" si="2"/>
        <v>0</v>
      </c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1" t="str">
        <f t="shared" si="1"/>
        <v/>
      </c>
      <c r="J186" s="1">
        <f t="shared" si="2"/>
        <v>0</v>
      </c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1" t="str">
        <f t="shared" si="1"/>
        <v/>
      </c>
      <c r="J187" s="1">
        <f t="shared" si="2"/>
        <v>0</v>
      </c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1" t="str">
        <f t="shared" si="1"/>
        <v/>
      </c>
      <c r="J188" s="1">
        <f t="shared" si="2"/>
        <v>0</v>
      </c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1" t="str">
        <f t="shared" si="1"/>
        <v/>
      </c>
      <c r="J189" s="1">
        <f t="shared" si="2"/>
        <v>0</v>
      </c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1" t="str">
        <f t="shared" si="1"/>
        <v/>
      </c>
      <c r="J190" s="1">
        <f t="shared" si="2"/>
        <v>0</v>
      </c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1" t="str">
        <f t="shared" si="1"/>
        <v/>
      </c>
      <c r="J191" s="1">
        <f t="shared" si="2"/>
        <v>0</v>
      </c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1" t="str">
        <f t="shared" si="1"/>
        <v/>
      </c>
      <c r="J192" s="1">
        <f t="shared" si="2"/>
        <v>0</v>
      </c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1" t="str">
        <f t="shared" si="1"/>
        <v/>
      </c>
      <c r="J193" s="1">
        <f t="shared" si="2"/>
        <v>0</v>
      </c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1" t="str">
        <f t="shared" si="1"/>
        <v/>
      </c>
      <c r="J194" s="1">
        <f t="shared" si="2"/>
        <v>0</v>
      </c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1" t="str">
        <f t="shared" si="1"/>
        <v/>
      </c>
      <c r="J195" s="1">
        <f t="shared" si="2"/>
        <v>0</v>
      </c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1" t="str">
        <f t="shared" si="1"/>
        <v/>
      </c>
      <c r="J196" s="1">
        <f t="shared" si="2"/>
        <v>0</v>
      </c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1" t="str">
        <f t="shared" si="1"/>
        <v/>
      </c>
      <c r="J197" s="1">
        <f t="shared" si="2"/>
        <v>0</v>
      </c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1" t="str">
        <f t="shared" si="1"/>
        <v/>
      </c>
      <c r="J198" s="1">
        <f t="shared" si="2"/>
        <v>0</v>
      </c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1" t="str">
        <f t="shared" si="1"/>
        <v/>
      </c>
      <c r="J199" s="1">
        <f t="shared" si="2"/>
        <v>0</v>
      </c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1" t="str">
        <f t="shared" si="1"/>
        <v/>
      </c>
      <c r="J200" s="1">
        <f t="shared" si="2"/>
        <v>0</v>
      </c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dataValidations>
    <dataValidation type="list" allowBlank="1" sqref="D4:D200">
      <formula1>Liste!$B$2:$B$5</formula1>
    </dataValidation>
    <dataValidation type="list" allowBlank="1" sqref="H4:H200">
      <formula1>Liste!$C$2:$C$4</formula1>
    </dataValidation>
    <dataValidation type="list" allowBlank="1" sqref="C4:C200">
      <formula1>Liste!$A$2:$A$9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5.0"/>
    <col customWidth="1" min="3" max="4" width="12.0"/>
    <col customWidth="1" min="5" max="6" width="18.0"/>
    <col customWidth="1" min="7" max="26" width="8.63"/>
  </cols>
  <sheetData>
    <row r="1" ht="14.25" customHeight="1">
      <c r="A1" s="2" t="s">
        <v>26</v>
      </c>
      <c r="B1" s="3"/>
      <c r="C1" s="3"/>
      <c r="D1" s="3"/>
      <c r="E1" s="3"/>
      <c r="F1" s="4"/>
    </row>
    <row r="2" ht="14.25" customHeight="1"/>
    <row r="3" ht="14.25" customHeight="1">
      <c r="A3" s="5" t="s">
        <v>108</v>
      </c>
      <c r="B3" s="5" t="s">
        <v>66</v>
      </c>
      <c r="C3" s="5" t="s">
        <v>109</v>
      </c>
      <c r="D3" s="5" t="s">
        <v>2</v>
      </c>
      <c r="E3" s="5" t="s">
        <v>73</v>
      </c>
      <c r="F3" s="5" t="s">
        <v>110</v>
      </c>
    </row>
    <row r="4" ht="14.25" customHeight="1">
      <c r="A4" s="7" t="s">
        <v>111</v>
      </c>
      <c r="B4" s="7" t="s">
        <v>75</v>
      </c>
      <c r="C4" s="7">
        <v>300.0</v>
      </c>
      <c r="D4" s="7" t="s">
        <v>5</v>
      </c>
      <c r="E4" s="1">
        <f>IFERROR(VLOOKUP(B4,Namirnice!$B$4:$J$200,9,FALSE),0)</f>
        <v>0.014</v>
      </c>
      <c r="F4" s="1">
        <f t="shared" ref="F4:F500" si="1">C4*E4</f>
        <v>4.2</v>
      </c>
    </row>
    <row r="5" ht="14.25" customHeight="1">
      <c r="A5" s="7" t="s">
        <v>111</v>
      </c>
      <c r="B5" s="7" t="s">
        <v>78</v>
      </c>
      <c r="C5" s="7">
        <v>500.0</v>
      </c>
      <c r="D5" s="7" t="s">
        <v>5</v>
      </c>
      <c r="E5" s="1">
        <f>IFERROR(VLOOKUP(B5,Namirnice!$B$4:$J$200,9,FALSE),0)</f>
        <v>0.006</v>
      </c>
      <c r="F5" s="1">
        <f t="shared" si="1"/>
        <v>3</v>
      </c>
    </row>
    <row r="6" ht="14.25" customHeight="1">
      <c r="A6" s="7" t="s">
        <v>111</v>
      </c>
      <c r="B6" s="7" t="s">
        <v>80</v>
      </c>
      <c r="C6" s="7">
        <v>45.0</v>
      </c>
      <c r="D6" s="7" t="s">
        <v>5</v>
      </c>
      <c r="E6" s="1">
        <f>IFERROR(VLOOKUP(B6,Namirnice!$B$4:$J$200,9,FALSE),0)</f>
        <v>0.028</v>
      </c>
      <c r="F6" s="1">
        <f t="shared" si="1"/>
        <v>1.26</v>
      </c>
    </row>
    <row r="7" ht="14.25" customHeight="1">
      <c r="A7" s="7" t="s">
        <v>111</v>
      </c>
      <c r="B7" s="7" t="s">
        <v>82</v>
      </c>
      <c r="C7" s="7">
        <v>2.0</v>
      </c>
      <c r="D7" s="7" t="s">
        <v>5</v>
      </c>
      <c r="E7" s="1">
        <f>IFERROR(VLOOKUP(B7,Namirnice!$B$4:$J$200,9,FALSE),0)</f>
        <v>0.7</v>
      </c>
      <c r="F7" s="1">
        <f t="shared" si="1"/>
        <v>1.4</v>
      </c>
    </row>
    <row r="8" ht="14.25" customHeight="1">
      <c r="A8" s="7" t="s">
        <v>111</v>
      </c>
      <c r="B8" s="7" t="s">
        <v>84</v>
      </c>
      <c r="C8" s="7">
        <v>150.0</v>
      </c>
      <c r="D8" s="7" t="s">
        <v>5</v>
      </c>
      <c r="E8" s="1">
        <f>IFERROR(VLOOKUP(B8,Namirnice!$B$4:$J$200,9,FALSE),0)</f>
        <v>0.02</v>
      </c>
      <c r="F8" s="1">
        <f t="shared" si="1"/>
        <v>3</v>
      </c>
    </row>
    <row r="9" ht="14.25" customHeight="1">
      <c r="A9" s="7" t="s">
        <v>111</v>
      </c>
      <c r="B9" s="7" t="s">
        <v>86</v>
      </c>
      <c r="C9" s="7">
        <v>300.0</v>
      </c>
      <c r="D9" s="7" t="s">
        <v>8</v>
      </c>
      <c r="E9" s="1">
        <f>IFERROR(VLOOKUP(B9,Namirnice!$B$4:$J$200,9,FALSE),0)</f>
        <v>0.0125</v>
      </c>
      <c r="F9" s="1">
        <f t="shared" si="1"/>
        <v>3.75</v>
      </c>
    </row>
    <row r="10" ht="14.25" customHeight="1">
      <c r="A10" s="7" t="s">
        <v>111</v>
      </c>
      <c r="B10" s="7" t="s">
        <v>88</v>
      </c>
      <c r="C10" s="7">
        <v>30.0</v>
      </c>
      <c r="D10" s="7" t="s">
        <v>5</v>
      </c>
      <c r="E10" s="1">
        <f>IFERROR(VLOOKUP(B10,Namirnice!$B$4:$J$200,9,FALSE),0)</f>
        <v>0.05</v>
      </c>
      <c r="F10" s="1">
        <f t="shared" si="1"/>
        <v>1.5</v>
      </c>
    </row>
    <row r="11" ht="14.25" customHeight="1">
      <c r="A11" s="7" t="s">
        <v>112</v>
      </c>
      <c r="B11" s="7" t="s">
        <v>90</v>
      </c>
      <c r="C11" s="7">
        <v>350.0</v>
      </c>
      <c r="D11" s="7" t="s">
        <v>5</v>
      </c>
      <c r="E11" s="1">
        <f>IFERROR(VLOOKUP(B11,Namirnice!$B$4:$J$200,9,FALSE),0)</f>
        <v>0.0015</v>
      </c>
      <c r="F11" s="1">
        <f t="shared" si="1"/>
        <v>0.525</v>
      </c>
    </row>
    <row r="12" ht="14.25" customHeight="1">
      <c r="A12" s="7" t="s">
        <v>112</v>
      </c>
      <c r="B12" s="7" t="s">
        <v>92</v>
      </c>
      <c r="C12" s="7">
        <v>1.0</v>
      </c>
      <c r="D12" s="7" t="s">
        <v>11</v>
      </c>
      <c r="E12" s="1">
        <v>1.5</v>
      </c>
      <c r="F12" s="1">
        <f t="shared" si="1"/>
        <v>1.5</v>
      </c>
    </row>
    <row r="13" ht="14.25" customHeight="1">
      <c r="A13" s="7" t="s">
        <v>112</v>
      </c>
      <c r="B13" s="7" t="s">
        <v>94</v>
      </c>
      <c r="C13" s="7">
        <v>150.0</v>
      </c>
      <c r="D13" s="7" t="s">
        <v>5</v>
      </c>
      <c r="E13" s="1">
        <v>0.0015</v>
      </c>
      <c r="F13" s="1">
        <f t="shared" si="1"/>
        <v>0.225</v>
      </c>
    </row>
    <row r="14" ht="14.25" customHeight="1">
      <c r="A14" s="7" t="s">
        <v>112</v>
      </c>
      <c r="B14" s="7" t="s">
        <v>96</v>
      </c>
      <c r="C14" s="7">
        <v>100.0</v>
      </c>
      <c r="D14" s="7" t="s">
        <v>5</v>
      </c>
      <c r="E14" s="1">
        <v>0.003</v>
      </c>
      <c r="F14" s="1">
        <f t="shared" si="1"/>
        <v>0.3</v>
      </c>
    </row>
    <row r="15" ht="14.25" customHeight="1">
      <c r="A15" s="7" t="s">
        <v>112</v>
      </c>
      <c r="B15" s="7" t="s">
        <v>102</v>
      </c>
      <c r="C15" s="7">
        <v>30.0</v>
      </c>
      <c r="D15" s="7" t="s">
        <v>5</v>
      </c>
      <c r="E15" s="1">
        <f>IFERROR(VLOOKUP(B15,Namirnice!$B$4:$J$200,9,FALSE),0)</f>
        <v>0.015</v>
      </c>
      <c r="F15" s="1">
        <f t="shared" si="1"/>
        <v>0.45</v>
      </c>
    </row>
    <row r="16" ht="14.25" customHeight="1">
      <c r="A16" s="7" t="s">
        <v>112</v>
      </c>
      <c r="B16" s="7" t="s">
        <v>100</v>
      </c>
      <c r="C16" s="7">
        <v>20.0</v>
      </c>
      <c r="D16" s="7" t="s">
        <v>8</v>
      </c>
      <c r="E16" s="1">
        <v>0.006</v>
      </c>
      <c r="F16" s="1">
        <f t="shared" si="1"/>
        <v>0.12</v>
      </c>
    </row>
    <row r="17" ht="14.25" customHeight="1">
      <c r="A17" s="7"/>
      <c r="B17" s="7"/>
      <c r="C17" s="7"/>
      <c r="D17" s="7"/>
      <c r="E17" s="1">
        <f>IFERROR(VLOOKUP(B17,Namirnice!$B$4:$J$200,9,FALSE),0)</f>
        <v>0</v>
      </c>
      <c r="F17" s="1">
        <f t="shared" si="1"/>
        <v>0</v>
      </c>
    </row>
    <row r="18" ht="14.25" customHeight="1">
      <c r="A18" s="7"/>
      <c r="B18" s="7"/>
      <c r="C18" s="7"/>
      <c r="D18" s="7"/>
      <c r="E18" s="1">
        <f>IFERROR(VLOOKUP(B18,Namirnice!$B$4:$J$200,9,FALSE),0)</f>
        <v>0</v>
      </c>
      <c r="F18" s="1">
        <f t="shared" si="1"/>
        <v>0</v>
      </c>
    </row>
    <row r="19" ht="14.25" customHeight="1">
      <c r="A19" s="7"/>
      <c r="B19" s="7"/>
      <c r="C19" s="7"/>
      <c r="D19" s="7"/>
      <c r="E19" s="1">
        <f>IFERROR(VLOOKUP(B19,Namirnice!$B$4:$J$200,9,FALSE),0)</f>
        <v>0</v>
      </c>
      <c r="F19" s="1">
        <f t="shared" si="1"/>
        <v>0</v>
      </c>
    </row>
    <row r="20" ht="14.25" customHeight="1">
      <c r="A20" s="7"/>
      <c r="B20" s="7"/>
      <c r="C20" s="7"/>
      <c r="D20" s="7"/>
      <c r="E20" s="1">
        <f>IFERROR(VLOOKUP(B20,Namirnice!$B$4:$J$200,9,FALSE),0)</f>
        <v>0</v>
      </c>
      <c r="F20" s="1">
        <f t="shared" si="1"/>
        <v>0</v>
      </c>
    </row>
    <row r="21" ht="14.25" customHeight="1">
      <c r="A21" s="7"/>
      <c r="B21" s="7"/>
      <c r="C21" s="7"/>
      <c r="D21" s="7"/>
      <c r="E21" s="1">
        <f>IFERROR(VLOOKUP(B21,Namirnice!$B$4:$J$200,9,FALSE),0)</f>
        <v>0</v>
      </c>
      <c r="F21" s="1">
        <f t="shared" si="1"/>
        <v>0</v>
      </c>
    </row>
    <row r="22" ht="14.25" customHeight="1">
      <c r="A22" s="7"/>
      <c r="B22" s="7"/>
      <c r="C22" s="7"/>
      <c r="D22" s="7"/>
      <c r="E22" s="1">
        <f>IFERROR(VLOOKUP(B22,Namirnice!$B$4:$J$200,9,FALSE),0)</f>
        <v>0</v>
      </c>
      <c r="F22" s="1">
        <f t="shared" si="1"/>
        <v>0</v>
      </c>
    </row>
    <row r="23" ht="14.25" customHeight="1">
      <c r="A23" s="7"/>
      <c r="B23" s="7"/>
      <c r="C23" s="7"/>
      <c r="D23" s="7"/>
      <c r="E23" s="1">
        <f>IFERROR(VLOOKUP(B23,Namirnice!$B$4:$J$200,9,FALSE),0)</f>
        <v>0</v>
      </c>
      <c r="F23" s="1">
        <f t="shared" si="1"/>
        <v>0</v>
      </c>
    </row>
    <row r="24" ht="14.25" customHeight="1">
      <c r="A24" s="7"/>
      <c r="B24" s="7"/>
      <c r="C24" s="7"/>
      <c r="D24" s="7"/>
      <c r="E24" s="1">
        <f>IFERROR(VLOOKUP(B24,Namirnice!$B$4:$J$200,9,FALSE),0)</f>
        <v>0</v>
      </c>
      <c r="F24" s="1">
        <f t="shared" si="1"/>
        <v>0</v>
      </c>
    </row>
    <row r="25" ht="14.25" customHeight="1">
      <c r="A25" s="7"/>
      <c r="B25" s="7"/>
      <c r="C25" s="7"/>
      <c r="D25" s="7"/>
      <c r="E25" s="1">
        <f>IFERROR(VLOOKUP(B25,Namirnice!$B$4:$J$200,9,FALSE),0)</f>
        <v>0</v>
      </c>
      <c r="F25" s="1">
        <f t="shared" si="1"/>
        <v>0</v>
      </c>
    </row>
    <row r="26" ht="14.25" customHeight="1">
      <c r="A26" s="7"/>
      <c r="B26" s="7"/>
      <c r="C26" s="7"/>
      <c r="D26" s="7"/>
      <c r="E26" s="1">
        <f>IFERROR(VLOOKUP(B26,Namirnice!$B$4:$J$200,9,FALSE),0)</f>
        <v>0</v>
      </c>
      <c r="F26" s="1">
        <f t="shared" si="1"/>
        <v>0</v>
      </c>
    </row>
    <row r="27" ht="14.25" customHeight="1">
      <c r="A27" s="7"/>
      <c r="B27" s="7"/>
      <c r="C27" s="7"/>
      <c r="D27" s="7"/>
      <c r="E27" s="1">
        <f>IFERROR(VLOOKUP(B27,Namirnice!$B$4:$J$200,9,FALSE),0)</f>
        <v>0</v>
      </c>
      <c r="F27" s="1">
        <f t="shared" si="1"/>
        <v>0</v>
      </c>
    </row>
    <row r="28" ht="14.25" customHeight="1">
      <c r="A28" s="7"/>
      <c r="B28" s="7"/>
      <c r="C28" s="7"/>
      <c r="D28" s="7"/>
      <c r="E28" s="1">
        <f>IFERROR(VLOOKUP(B28,Namirnice!$B$4:$J$200,9,FALSE),0)</f>
        <v>0</v>
      </c>
      <c r="F28" s="1">
        <f t="shared" si="1"/>
        <v>0</v>
      </c>
    </row>
    <row r="29" ht="14.25" customHeight="1">
      <c r="A29" s="7"/>
      <c r="B29" s="7"/>
      <c r="C29" s="7"/>
      <c r="D29" s="7"/>
      <c r="E29" s="1">
        <f>IFERROR(VLOOKUP(B29,Namirnice!$B$4:$J$200,9,FALSE),0)</f>
        <v>0</v>
      </c>
      <c r="F29" s="1">
        <f t="shared" si="1"/>
        <v>0</v>
      </c>
    </row>
    <row r="30" ht="14.25" customHeight="1">
      <c r="A30" s="7"/>
      <c r="B30" s="7"/>
      <c r="C30" s="7"/>
      <c r="D30" s="7"/>
      <c r="E30" s="1">
        <f>IFERROR(VLOOKUP(B30,Namirnice!$B$4:$J$200,9,FALSE),0)</f>
        <v>0</v>
      </c>
      <c r="F30" s="1">
        <f t="shared" si="1"/>
        <v>0</v>
      </c>
    </row>
    <row r="31" ht="14.25" customHeight="1">
      <c r="A31" s="7"/>
      <c r="B31" s="7"/>
      <c r="C31" s="7"/>
      <c r="D31" s="7"/>
      <c r="E31" s="1">
        <f>IFERROR(VLOOKUP(B31,Namirnice!$B$4:$J$200,9,FALSE),0)</f>
        <v>0</v>
      </c>
      <c r="F31" s="1">
        <f t="shared" si="1"/>
        <v>0</v>
      </c>
    </row>
    <row r="32" ht="14.25" customHeight="1">
      <c r="A32" s="7"/>
      <c r="B32" s="7"/>
      <c r="C32" s="7"/>
      <c r="D32" s="7"/>
      <c r="E32" s="1">
        <f>IFERROR(VLOOKUP(B32,Namirnice!$B$4:$J$200,9,FALSE),0)</f>
        <v>0</v>
      </c>
      <c r="F32" s="1">
        <f t="shared" si="1"/>
        <v>0</v>
      </c>
    </row>
    <row r="33" ht="14.25" customHeight="1">
      <c r="A33" s="7"/>
      <c r="B33" s="7"/>
      <c r="C33" s="7"/>
      <c r="D33" s="7"/>
      <c r="E33" s="1">
        <f>IFERROR(VLOOKUP(B33,Namirnice!$B$4:$J$200,9,FALSE),0)</f>
        <v>0</v>
      </c>
      <c r="F33" s="1">
        <f t="shared" si="1"/>
        <v>0</v>
      </c>
    </row>
    <row r="34" ht="14.25" customHeight="1">
      <c r="A34" s="7"/>
      <c r="B34" s="7"/>
      <c r="C34" s="7"/>
      <c r="D34" s="7"/>
      <c r="E34" s="1">
        <f>IFERROR(VLOOKUP(B34,Namirnice!$B$4:$J$200,9,FALSE),0)</f>
        <v>0</v>
      </c>
      <c r="F34" s="1">
        <f t="shared" si="1"/>
        <v>0</v>
      </c>
    </row>
    <row r="35" ht="14.25" customHeight="1">
      <c r="A35" s="7"/>
      <c r="B35" s="7"/>
      <c r="C35" s="7"/>
      <c r="D35" s="7"/>
      <c r="E35" s="1">
        <f>IFERROR(VLOOKUP(B35,Namirnice!$B$4:$J$200,9,FALSE),0)</f>
        <v>0</v>
      </c>
      <c r="F35" s="1">
        <f t="shared" si="1"/>
        <v>0</v>
      </c>
    </row>
    <row r="36" ht="14.25" customHeight="1">
      <c r="A36" s="7"/>
      <c r="B36" s="7"/>
      <c r="C36" s="7"/>
      <c r="D36" s="7"/>
      <c r="E36" s="1">
        <f>IFERROR(VLOOKUP(B36,Namirnice!$B$4:$J$200,9,FALSE),0)</f>
        <v>0</v>
      </c>
      <c r="F36" s="1">
        <f t="shared" si="1"/>
        <v>0</v>
      </c>
    </row>
    <row r="37" ht="14.25" customHeight="1">
      <c r="A37" s="7"/>
      <c r="B37" s="7"/>
      <c r="C37" s="7"/>
      <c r="D37" s="7"/>
      <c r="E37" s="1">
        <f>IFERROR(VLOOKUP(B37,Namirnice!$B$4:$J$200,9,FALSE),0)</f>
        <v>0</v>
      </c>
      <c r="F37" s="1">
        <f t="shared" si="1"/>
        <v>0</v>
      </c>
    </row>
    <row r="38" ht="14.25" customHeight="1">
      <c r="A38" s="7"/>
      <c r="B38" s="7"/>
      <c r="C38" s="7"/>
      <c r="D38" s="7"/>
      <c r="E38" s="1">
        <f>IFERROR(VLOOKUP(B38,Namirnice!$B$4:$J$200,9,FALSE),0)</f>
        <v>0</v>
      </c>
      <c r="F38" s="1">
        <f t="shared" si="1"/>
        <v>0</v>
      </c>
    </row>
    <row r="39" ht="14.25" customHeight="1">
      <c r="A39" s="7"/>
      <c r="B39" s="7"/>
      <c r="C39" s="7"/>
      <c r="D39" s="7"/>
      <c r="E39" s="1">
        <f>IFERROR(VLOOKUP(B39,Namirnice!$B$4:$J$200,9,FALSE),0)</f>
        <v>0</v>
      </c>
      <c r="F39" s="1">
        <f t="shared" si="1"/>
        <v>0</v>
      </c>
    </row>
    <row r="40" ht="14.25" customHeight="1">
      <c r="A40" s="7"/>
      <c r="B40" s="7"/>
      <c r="C40" s="7"/>
      <c r="D40" s="7"/>
      <c r="E40" s="1">
        <f>IFERROR(VLOOKUP(B40,Namirnice!$B$4:$J$200,9,FALSE),0)</f>
        <v>0</v>
      </c>
      <c r="F40" s="1">
        <f t="shared" si="1"/>
        <v>0</v>
      </c>
    </row>
    <row r="41" ht="14.25" customHeight="1">
      <c r="A41" s="7"/>
      <c r="B41" s="7"/>
      <c r="C41" s="7"/>
      <c r="D41" s="7"/>
      <c r="E41" s="1">
        <f>IFERROR(VLOOKUP(B41,Namirnice!$B$4:$J$200,9,FALSE),0)</f>
        <v>0</v>
      </c>
      <c r="F41" s="1">
        <f t="shared" si="1"/>
        <v>0</v>
      </c>
    </row>
    <row r="42" ht="14.25" customHeight="1">
      <c r="A42" s="7"/>
      <c r="B42" s="7"/>
      <c r="C42" s="7"/>
      <c r="D42" s="7"/>
      <c r="E42" s="1">
        <f>IFERROR(VLOOKUP(B42,Namirnice!$B$4:$J$200,9,FALSE),0)</f>
        <v>0</v>
      </c>
      <c r="F42" s="1">
        <f t="shared" si="1"/>
        <v>0</v>
      </c>
    </row>
    <row r="43" ht="14.25" customHeight="1">
      <c r="A43" s="7"/>
      <c r="B43" s="7"/>
      <c r="C43" s="7"/>
      <c r="D43" s="7"/>
      <c r="E43" s="1">
        <f>IFERROR(VLOOKUP(B43,Namirnice!$B$4:$J$200,9,FALSE),0)</f>
        <v>0</v>
      </c>
      <c r="F43" s="1">
        <f t="shared" si="1"/>
        <v>0</v>
      </c>
    </row>
    <row r="44" ht="14.25" customHeight="1">
      <c r="A44" s="7"/>
      <c r="B44" s="7"/>
      <c r="C44" s="7"/>
      <c r="D44" s="7"/>
      <c r="E44" s="1">
        <f>IFERROR(VLOOKUP(B44,Namirnice!$B$4:$J$200,9,FALSE),0)</f>
        <v>0</v>
      </c>
      <c r="F44" s="1">
        <f t="shared" si="1"/>
        <v>0</v>
      </c>
    </row>
    <row r="45" ht="14.25" customHeight="1">
      <c r="A45" s="7"/>
      <c r="B45" s="7"/>
      <c r="C45" s="7"/>
      <c r="D45" s="7"/>
      <c r="E45" s="1">
        <f>IFERROR(VLOOKUP(B45,Namirnice!$B$4:$J$200,9,FALSE),0)</f>
        <v>0</v>
      </c>
      <c r="F45" s="1">
        <f t="shared" si="1"/>
        <v>0</v>
      </c>
    </row>
    <row r="46" ht="14.25" customHeight="1">
      <c r="A46" s="7"/>
      <c r="B46" s="7"/>
      <c r="C46" s="7"/>
      <c r="D46" s="7"/>
      <c r="E46" s="1">
        <f>IFERROR(VLOOKUP(B46,Namirnice!$B$4:$J$200,9,FALSE),0)</f>
        <v>0</v>
      </c>
      <c r="F46" s="1">
        <f t="shared" si="1"/>
        <v>0</v>
      </c>
    </row>
    <row r="47" ht="14.25" customHeight="1">
      <c r="A47" s="7"/>
      <c r="B47" s="7"/>
      <c r="C47" s="7"/>
      <c r="D47" s="7"/>
      <c r="E47" s="1">
        <f>IFERROR(VLOOKUP(B47,Namirnice!$B$4:$J$200,9,FALSE),0)</f>
        <v>0</v>
      </c>
      <c r="F47" s="1">
        <f t="shared" si="1"/>
        <v>0</v>
      </c>
    </row>
    <row r="48" ht="14.25" customHeight="1">
      <c r="A48" s="7"/>
      <c r="B48" s="7"/>
      <c r="C48" s="7"/>
      <c r="D48" s="7"/>
      <c r="E48" s="1">
        <f>IFERROR(VLOOKUP(B48,Namirnice!$B$4:$J$200,9,FALSE),0)</f>
        <v>0</v>
      </c>
      <c r="F48" s="1">
        <f t="shared" si="1"/>
        <v>0</v>
      </c>
    </row>
    <row r="49" ht="14.25" customHeight="1">
      <c r="A49" s="7"/>
      <c r="B49" s="7"/>
      <c r="C49" s="7"/>
      <c r="D49" s="7"/>
      <c r="E49" s="1">
        <f>IFERROR(VLOOKUP(B49,Namirnice!$B$4:$J$200,9,FALSE),0)</f>
        <v>0</v>
      </c>
      <c r="F49" s="1">
        <f t="shared" si="1"/>
        <v>0</v>
      </c>
    </row>
    <row r="50" ht="14.25" customHeight="1">
      <c r="A50" s="7"/>
      <c r="B50" s="7"/>
      <c r="C50" s="7"/>
      <c r="D50" s="7"/>
      <c r="E50" s="1">
        <f>IFERROR(VLOOKUP(B50,Namirnice!$B$4:$J$200,9,FALSE),0)</f>
        <v>0</v>
      </c>
      <c r="F50" s="1">
        <f t="shared" si="1"/>
        <v>0</v>
      </c>
    </row>
    <row r="51" ht="14.25" customHeight="1">
      <c r="A51" s="7"/>
      <c r="B51" s="7"/>
      <c r="C51" s="7"/>
      <c r="D51" s="7"/>
      <c r="E51" s="1">
        <f>IFERROR(VLOOKUP(B51,Namirnice!$B$4:$J$200,9,FALSE),0)</f>
        <v>0</v>
      </c>
      <c r="F51" s="1">
        <f t="shared" si="1"/>
        <v>0</v>
      </c>
    </row>
    <row r="52" ht="14.25" customHeight="1">
      <c r="A52" s="7"/>
      <c r="B52" s="7"/>
      <c r="C52" s="7"/>
      <c r="D52" s="7"/>
      <c r="E52" s="1">
        <f>IFERROR(VLOOKUP(B52,Namirnice!$B$4:$J$200,9,FALSE),0)</f>
        <v>0</v>
      </c>
      <c r="F52" s="1">
        <f t="shared" si="1"/>
        <v>0</v>
      </c>
    </row>
    <row r="53" ht="14.25" customHeight="1">
      <c r="A53" s="7"/>
      <c r="B53" s="7"/>
      <c r="C53" s="7"/>
      <c r="D53" s="7"/>
      <c r="E53" s="1">
        <f>IFERROR(VLOOKUP(B53,Namirnice!$B$4:$J$200,9,FALSE),0)</f>
        <v>0</v>
      </c>
      <c r="F53" s="1">
        <f t="shared" si="1"/>
        <v>0</v>
      </c>
    </row>
    <row r="54" ht="14.25" customHeight="1">
      <c r="A54" s="7"/>
      <c r="B54" s="7"/>
      <c r="C54" s="7"/>
      <c r="D54" s="7"/>
      <c r="E54" s="1">
        <f>IFERROR(VLOOKUP(B54,Namirnice!$B$4:$J$200,9,FALSE),0)</f>
        <v>0</v>
      </c>
      <c r="F54" s="1">
        <f t="shared" si="1"/>
        <v>0</v>
      </c>
    </row>
    <row r="55" ht="14.25" customHeight="1">
      <c r="A55" s="7"/>
      <c r="B55" s="7"/>
      <c r="C55" s="7"/>
      <c r="D55" s="7"/>
      <c r="E55" s="1">
        <f>IFERROR(VLOOKUP(B55,Namirnice!$B$4:$J$200,9,FALSE),0)</f>
        <v>0</v>
      </c>
      <c r="F55" s="1">
        <f t="shared" si="1"/>
        <v>0</v>
      </c>
    </row>
    <row r="56" ht="14.25" customHeight="1">
      <c r="A56" s="7"/>
      <c r="B56" s="7"/>
      <c r="C56" s="7"/>
      <c r="D56" s="7"/>
      <c r="E56" s="1">
        <f>IFERROR(VLOOKUP(B56,Namirnice!$B$4:$J$200,9,FALSE),0)</f>
        <v>0</v>
      </c>
      <c r="F56" s="1">
        <f t="shared" si="1"/>
        <v>0</v>
      </c>
    </row>
    <row r="57" ht="14.25" customHeight="1">
      <c r="A57" s="7"/>
      <c r="B57" s="7"/>
      <c r="C57" s="7"/>
      <c r="D57" s="7"/>
      <c r="E57" s="1">
        <f>IFERROR(VLOOKUP(B57,Namirnice!$B$4:$J$200,9,FALSE),0)</f>
        <v>0</v>
      </c>
      <c r="F57" s="1">
        <f t="shared" si="1"/>
        <v>0</v>
      </c>
    </row>
    <row r="58" ht="14.25" customHeight="1">
      <c r="A58" s="7"/>
      <c r="B58" s="7"/>
      <c r="C58" s="7"/>
      <c r="D58" s="7"/>
      <c r="E58" s="1">
        <f>IFERROR(VLOOKUP(B58,Namirnice!$B$4:$J$200,9,FALSE),0)</f>
        <v>0</v>
      </c>
      <c r="F58" s="1">
        <f t="shared" si="1"/>
        <v>0</v>
      </c>
    </row>
    <row r="59" ht="14.25" customHeight="1">
      <c r="A59" s="7"/>
      <c r="B59" s="7"/>
      <c r="C59" s="7"/>
      <c r="D59" s="7"/>
      <c r="E59" s="1">
        <f>IFERROR(VLOOKUP(B59,Namirnice!$B$4:$J$200,9,FALSE),0)</f>
        <v>0</v>
      </c>
      <c r="F59" s="1">
        <f t="shared" si="1"/>
        <v>0</v>
      </c>
    </row>
    <row r="60" ht="14.25" customHeight="1">
      <c r="A60" s="7"/>
      <c r="B60" s="7"/>
      <c r="C60" s="7"/>
      <c r="D60" s="7"/>
      <c r="E60" s="1">
        <f>IFERROR(VLOOKUP(B60,Namirnice!$B$4:$J$200,9,FALSE),0)</f>
        <v>0</v>
      </c>
      <c r="F60" s="1">
        <f t="shared" si="1"/>
        <v>0</v>
      </c>
    </row>
    <row r="61" ht="14.25" customHeight="1">
      <c r="A61" s="7"/>
      <c r="B61" s="7"/>
      <c r="C61" s="7"/>
      <c r="D61" s="7"/>
      <c r="E61" s="1">
        <f>IFERROR(VLOOKUP(B61,Namirnice!$B$4:$J$200,9,FALSE),0)</f>
        <v>0</v>
      </c>
      <c r="F61" s="1">
        <f t="shared" si="1"/>
        <v>0</v>
      </c>
    </row>
    <row r="62" ht="14.25" customHeight="1">
      <c r="A62" s="7"/>
      <c r="B62" s="7"/>
      <c r="C62" s="7"/>
      <c r="D62" s="7"/>
      <c r="E62" s="1">
        <f>IFERROR(VLOOKUP(B62,Namirnice!$B$4:$J$200,9,FALSE),0)</f>
        <v>0</v>
      </c>
      <c r="F62" s="1">
        <f t="shared" si="1"/>
        <v>0</v>
      </c>
    </row>
    <row r="63" ht="14.25" customHeight="1">
      <c r="A63" s="7"/>
      <c r="B63" s="7"/>
      <c r="C63" s="7"/>
      <c r="D63" s="7"/>
      <c r="E63" s="1">
        <f>IFERROR(VLOOKUP(B63,Namirnice!$B$4:$J$200,9,FALSE),0)</f>
        <v>0</v>
      </c>
      <c r="F63" s="1">
        <f t="shared" si="1"/>
        <v>0</v>
      </c>
    </row>
    <row r="64" ht="14.25" customHeight="1">
      <c r="A64" s="7"/>
      <c r="B64" s="7"/>
      <c r="C64" s="7"/>
      <c r="D64" s="7"/>
      <c r="E64" s="1">
        <f>IFERROR(VLOOKUP(B64,Namirnice!$B$4:$J$200,9,FALSE),0)</f>
        <v>0</v>
      </c>
      <c r="F64" s="1">
        <f t="shared" si="1"/>
        <v>0</v>
      </c>
    </row>
    <row r="65" ht="14.25" customHeight="1">
      <c r="A65" s="7"/>
      <c r="B65" s="7"/>
      <c r="C65" s="7"/>
      <c r="D65" s="7"/>
      <c r="E65" s="1">
        <f>IFERROR(VLOOKUP(B65,Namirnice!$B$4:$J$200,9,FALSE),0)</f>
        <v>0</v>
      </c>
      <c r="F65" s="1">
        <f t="shared" si="1"/>
        <v>0</v>
      </c>
    </row>
    <row r="66" ht="14.25" customHeight="1">
      <c r="A66" s="7"/>
      <c r="B66" s="7"/>
      <c r="C66" s="7"/>
      <c r="D66" s="7"/>
      <c r="E66" s="1">
        <f>IFERROR(VLOOKUP(B66,Namirnice!$B$4:$J$200,9,FALSE),0)</f>
        <v>0</v>
      </c>
      <c r="F66" s="1">
        <f t="shared" si="1"/>
        <v>0</v>
      </c>
    </row>
    <row r="67" ht="14.25" customHeight="1">
      <c r="A67" s="7"/>
      <c r="B67" s="7"/>
      <c r="C67" s="7"/>
      <c r="D67" s="7"/>
      <c r="E67" s="1">
        <f>IFERROR(VLOOKUP(B67,Namirnice!$B$4:$J$200,9,FALSE),0)</f>
        <v>0</v>
      </c>
      <c r="F67" s="1">
        <f t="shared" si="1"/>
        <v>0</v>
      </c>
    </row>
    <row r="68" ht="14.25" customHeight="1">
      <c r="A68" s="7"/>
      <c r="B68" s="7"/>
      <c r="C68" s="7"/>
      <c r="D68" s="7"/>
      <c r="E68" s="1">
        <f>IFERROR(VLOOKUP(B68,Namirnice!$B$4:$J$200,9,FALSE),0)</f>
        <v>0</v>
      </c>
      <c r="F68" s="1">
        <f t="shared" si="1"/>
        <v>0</v>
      </c>
    </row>
    <row r="69" ht="14.25" customHeight="1">
      <c r="A69" s="7"/>
      <c r="B69" s="7"/>
      <c r="C69" s="7"/>
      <c r="D69" s="7"/>
      <c r="E69" s="1">
        <f>IFERROR(VLOOKUP(B69,Namirnice!$B$4:$J$200,9,FALSE),0)</f>
        <v>0</v>
      </c>
      <c r="F69" s="1">
        <f t="shared" si="1"/>
        <v>0</v>
      </c>
    </row>
    <row r="70" ht="14.25" customHeight="1">
      <c r="A70" s="7"/>
      <c r="B70" s="7"/>
      <c r="C70" s="7"/>
      <c r="D70" s="7"/>
      <c r="E70" s="1">
        <f>IFERROR(VLOOKUP(B70,Namirnice!$B$4:$J$200,9,FALSE),0)</f>
        <v>0</v>
      </c>
      <c r="F70" s="1">
        <f t="shared" si="1"/>
        <v>0</v>
      </c>
    </row>
    <row r="71" ht="14.25" customHeight="1">
      <c r="A71" s="7"/>
      <c r="B71" s="7"/>
      <c r="C71" s="7"/>
      <c r="D71" s="7"/>
      <c r="E71" s="1">
        <f>IFERROR(VLOOKUP(B71,Namirnice!$B$4:$J$200,9,FALSE),0)</f>
        <v>0</v>
      </c>
      <c r="F71" s="1">
        <f t="shared" si="1"/>
        <v>0</v>
      </c>
    </row>
    <row r="72" ht="14.25" customHeight="1">
      <c r="A72" s="7"/>
      <c r="B72" s="7"/>
      <c r="C72" s="7"/>
      <c r="D72" s="7"/>
      <c r="E72" s="1">
        <f>IFERROR(VLOOKUP(B72,Namirnice!$B$4:$J$200,9,FALSE),0)</f>
        <v>0</v>
      </c>
      <c r="F72" s="1">
        <f t="shared" si="1"/>
        <v>0</v>
      </c>
    </row>
    <row r="73" ht="14.25" customHeight="1">
      <c r="A73" s="7"/>
      <c r="B73" s="7"/>
      <c r="C73" s="7"/>
      <c r="D73" s="7"/>
      <c r="E73" s="1">
        <f>IFERROR(VLOOKUP(B73,Namirnice!$B$4:$J$200,9,FALSE),0)</f>
        <v>0</v>
      </c>
      <c r="F73" s="1">
        <f t="shared" si="1"/>
        <v>0</v>
      </c>
    </row>
    <row r="74" ht="14.25" customHeight="1">
      <c r="A74" s="7"/>
      <c r="B74" s="7"/>
      <c r="C74" s="7"/>
      <c r="D74" s="7"/>
      <c r="E74" s="1">
        <f>IFERROR(VLOOKUP(B74,Namirnice!$B$4:$J$200,9,FALSE),0)</f>
        <v>0</v>
      </c>
      <c r="F74" s="1">
        <f t="shared" si="1"/>
        <v>0</v>
      </c>
    </row>
    <row r="75" ht="14.25" customHeight="1">
      <c r="A75" s="7"/>
      <c r="B75" s="7"/>
      <c r="C75" s="7"/>
      <c r="D75" s="7"/>
      <c r="E75" s="1">
        <f>IFERROR(VLOOKUP(B75,Namirnice!$B$4:$J$200,9,FALSE),0)</f>
        <v>0</v>
      </c>
      <c r="F75" s="1">
        <f t="shared" si="1"/>
        <v>0</v>
      </c>
    </row>
    <row r="76" ht="14.25" customHeight="1">
      <c r="A76" s="7"/>
      <c r="B76" s="7"/>
      <c r="C76" s="7"/>
      <c r="D76" s="7"/>
      <c r="E76" s="1">
        <f>IFERROR(VLOOKUP(B76,Namirnice!$B$4:$J$200,9,FALSE),0)</f>
        <v>0</v>
      </c>
      <c r="F76" s="1">
        <f t="shared" si="1"/>
        <v>0</v>
      </c>
    </row>
    <row r="77" ht="14.25" customHeight="1">
      <c r="A77" s="7"/>
      <c r="B77" s="7"/>
      <c r="C77" s="7"/>
      <c r="D77" s="7"/>
      <c r="E77" s="1">
        <f>IFERROR(VLOOKUP(B77,Namirnice!$B$4:$J$200,9,FALSE),0)</f>
        <v>0</v>
      </c>
      <c r="F77" s="1">
        <f t="shared" si="1"/>
        <v>0</v>
      </c>
    </row>
    <row r="78" ht="14.25" customHeight="1">
      <c r="A78" s="7"/>
      <c r="B78" s="7"/>
      <c r="C78" s="7"/>
      <c r="D78" s="7"/>
      <c r="E78" s="1">
        <f>IFERROR(VLOOKUP(B78,Namirnice!$B$4:$J$200,9,FALSE),0)</f>
        <v>0</v>
      </c>
      <c r="F78" s="1">
        <f t="shared" si="1"/>
        <v>0</v>
      </c>
    </row>
    <row r="79" ht="14.25" customHeight="1">
      <c r="A79" s="7"/>
      <c r="B79" s="7"/>
      <c r="C79" s="7"/>
      <c r="D79" s="7"/>
      <c r="E79" s="1">
        <f>IFERROR(VLOOKUP(B79,Namirnice!$B$4:$J$200,9,FALSE),0)</f>
        <v>0</v>
      </c>
      <c r="F79" s="1">
        <f t="shared" si="1"/>
        <v>0</v>
      </c>
    </row>
    <row r="80" ht="14.25" customHeight="1">
      <c r="A80" s="7"/>
      <c r="B80" s="7"/>
      <c r="C80" s="7"/>
      <c r="D80" s="7"/>
      <c r="E80" s="1">
        <f>IFERROR(VLOOKUP(B80,Namirnice!$B$4:$J$200,9,FALSE),0)</f>
        <v>0</v>
      </c>
      <c r="F80" s="1">
        <f t="shared" si="1"/>
        <v>0</v>
      </c>
    </row>
    <row r="81" ht="14.25" customHeight="1">
      <c r="A81" s="7"/>
      <c r="B81" s="7"/>
      <c r="C81" s="7"/>
      <c r="D81" s="7"/>
      <c r="E81" s="1">
        <f>IFERROR(VLOOKUP(B81,Namirnice!$B$4:$J$200,9,FALSE),0)</f>
        <v>0</v>
      </c>
      <c r="F81" s="1">
        <f t="shared" si="1"/>
        <v>0</v>
      </c>
    </row>
    <row r="82" ht="14.25" customHeight="1">
      <c r="A82" s="7"/>
      <c r="B82" s="7"/>
      <c r="C82" s="7"/>
      <c r="D82" s="7"/>
      <c r="E82" s="1">
        <f>IFERROR(VLOOKUP(B82,Namirnice!$B$4:$J$200,9,FALSE),0)</f>
        <v>0</v>
      </c>
      <c r="F82" s="1">
        <f t="shared" si="1"/>
        <v>0</v>
      </c>
    </row>
    <row r="83" ht="14.25" customHeight="1">
      <c r="A83" s="7"/>
      <c r="B83" s="7"/>
      <c r="C83" s="7"/>
      <c r="D83" s="7"/>
      <c r="E83" s="1">
        <f>IFERROR(VLOOKUP(B83,Namirnice!$B$4:$J$200,9,FALSE),0)</f>
        <v>0</v>
      </c>
      <c r="F83" s="1">
        <f t="shared" si="1"/>
        <v>0</v>
      </c>
    </row>
    <row r="84" ht="14.25" customHeight="1">
      <c r="A84" s="7"/>
      <c r="B84" s="7"/>
      <c r="C84" s="7"/>
      <c r="D84" s="7"/>
      <c r="E84" s="1">
        <f>IFERROR(VLOOKUP(B84,Namirnice!$B$4:$J$200,9,FALSE),0)</f>
        <v>0</v>
      </c>
      <c r="F84" s="1">
        <f t="shared" si="1"/>
        <v>0</v>
      </c>
    </row>
    <row r="85" ht="14.25" customHeight="1">
      <c r="A85" s="7"/>
      <c r="B85" s="7"/>
      <c r="C85" s="7"/>
      <c r="D85" s="7"/>
      <c r="E85" s="1">
        <f>IFERROR(VLOOKUP(B85,Namirnice!$B$4:$J$200,9,FALSE),0)</f>
        <v>0</v>
      </c>
      <c r="F85" s="1">
        <f t="shared" si="1"/>
        <v>0</v>
      </c>
    </row>
    <row r="86" ht="14.25" customHeight="1">
      <c r="A86" s="7"/>
      <c r="B86" s="7"/>
      <c r="C86" s="7"/>
      <c r="D86" s="7"/>
      <c r="E86" s="1">
        <f>IFERROR(VLOOKUP(B86,Namirnice!$B$4:$J$200,9,FALSE),0)</f>
        <v>0</v>
      </c>
      <c r="F86" s="1">
        <f t="shared" si="1"/>
        <v>0</v>
      </c>
    </row>
    <row r="87" ht="14.25" customHeight="1">
      <c r="A87" s="7"/>
      <c r="B87" s="7"/>
      <c r="C87" s="7"/>
      <c r="D87" s="7"/>
      <c r="E87" s="1">
        <f>IFERROR(VLOOKUP(B87,Namirnice!$B$4:$J$200,9,FALSE),0)</f>
        <v>0</v>
      </c>
      <c r="F87" s="1">
        <f t="shared" si="1"/>
        <v>0</v>
      </c>
    </row>
    <row r="88" ht="14.25" customHeight="1">
      <c r="A88" s="7"/>
      <c r="B88" s="7"/>
      <c r="C88" s="7"/>
      <c r="D88" s="7"/>
      <c r="E88" s="1">
        <f>IFERROR(VLOOKUP(B88,Namirnice!$B$4:$J$200,9,FALSE),0)</f>
        <v>0</v>
      </c>
      <c r="F88" s="1">
        <f t="shared" si="1"/>
        <v>0</v>
      </c>
    </row>
    <row r="89" ht="14.25" customHeight="1">
      <c r="A89" s="7"/>
      <c r="B89" s="7"/>
      <c r="C89" s="7"/>
      <c r="D89" s="7"/>
      <c r="E89" s="1">
        <f>IFERROR(VLOOKUP(B89,Namirnice!$B$4:$J$200,9,FALSE),0)</f>
        <v>0</v>
      </c>
      <c r="F89" s="1">
        <f t="shared" si="1"/>
        <v>0</v>
      </c>
    </row>
    <row r="90" ht="14.25" customHeight="1">
      <c r="A90" s="7"/>
      <c r="B90" s="7"/>
      <c r="C90" s="7"/>
      <c r="D90" s="7"/>
      <c r="E90" s="1">
        <f>IFERROR(VLOOKUP(B90,Namirnice!$B$4:$J$200,9,FALSE),0)</f>
        <v>0</v>
      </c>
      <c r="F90" s="1">
        <f t="shared" si="1"/>
        <v>0</v>
      </c>
    </row>
    <row r="91" ht="14.25" customHeight="1">
      <c r="A91" s="7"/>
      <c r="B91" s="7"/>
      <c r="C91" s="7"/>
      <c r="D91" s="7"/>
      <c r="E91" s="1">
        <f>IFERROR(VLOOKUP(B91,Namirnice!$B$4:$J$200,9,FALSE),0)</f>
        <v>0</v>
      </c>
      <c r="F91" s="1">
        <f t="shared" si="1"/>
        <v>0</v>
      </c>
    </row>
    <row r="92" ht="14.25" customHeight="1">
      <c r="A92" s="7"/>
      <c r="B92" s="7"/>
      <c r="C92" s="7"/>
      <c r="D92" s="7"/>
      <c r="E92" s="1">
        <f>IFERROR(VLOOKUP(B92,Namirnice!$B$4:$J$200,9,FALSE),0)</f>
        <v>0</v>
      </c>
      <c r="F92" s="1">
        <f t="shared" si="1"/>
        <v>0</v>
      </c>
    </row>
    <row r="93" ht="14.25" customHeight="1">
      <c r="A93" s="7"/>
      <c r="B93" s="7"/>
      <c r="C93" s="7"/>
      <c r="D93" s="7"/>
      <c r="E93" s="1">
        <f>IFERROR(VLOOKUP(B93,Namirnice!$B$4:$J$200,9,FALSE),0)</f>
        <v>0</v>
      </c>
      <c r="F93" s="1">
        <f t="shared" si="1"/>
        <v>0</v>
      </c>
    </row>
    <row r="94" ht="14.25" customHeight="1">
      <c r="A94" s="7"/>
      <c r="B94" s="7"/>
      <c r="C94" s="7"/>
      <c r="D94" s="7"/>
      <c r="E94" s="1">
        <f>IFERROR(VLOOKUP(B94,Namirnice!$B$4:$J$200,9,FALSE),0)</f>
        <v>0</v>
      </c>
      <c r="F94" s="1">
        <f t="shared" si="1"/>
        <v>0</v>
      </c>
    </row>
    <row r="95" ht="14.25" customHeight="1">
      <c r="A95" s="7"/>
      <c r="B95" s="7"/>
      <c r="C95" s="7"/>
      <c r="D95" s="7"/>
      <c r="E95" s="1">
        <f>IFERROR(VLOOKUP(B95,Namirnice!$B$4:$J$200,9,FALSE),0)</f>
        <v>0</v>
      </c>
      <c r="F95" s="1">
        <f t="shared" si="1"/>
        <v>0</v>
      </c>
    </row>
    <row r="96" ht="14.25" customHeight="1">
      <c r="A96" s="7"/>
      <c r="B96" s="7"/>
      <c r="C96" s="7"/>
      <c r="D96" s="7"/>
      <c r="E96" s="1">
        <f>IFERROR(VLOOKUP(B96,Namirnice!$B$4:$J$200,9,FALSE),0)</f>
        <v>0</v>
      </c>
      <c r="F96" s="1">
        <f t="shared" si="1"/>
        <v>0</v>
      </c>
    </row>
    <row r="97" ht="14.25" customHeight="1">
      <c r="A97" s="7"/>
      <c r="B97" s="7"/>
      <c r="C97" s="7"/>
      <c r="D97" s="7"/>
      <c r="E97" s="1">
        <f>IFERROR(VLOOKUP(B97,Namirnice!$B$4:$J$200,9,FALSE),0)</f>
        <v>0</v>
      </c>
      <c r="F97" s="1">
        <f t="shared" si="1"/>
        <v>0</v>
      </c>
    </row>
    <row r="98" ht="14.25" customHeight="1">
      <c r="A98" s="7"/>
      <c r="B98" s="7"/>
      <c r="C98" s="7"/>
      <c r="D98" s="7"/>
      <c r="E98" s="1">
        <f>IFERROR(VLOOKUP(B98,Namirnice!$B$4:$J$200,9,FALSE),0)</f>
        <v>0</v>
      </c>
      <c r="F98" s="1">
        <f t="shared" si="1"/>
        <v>0</v>
      </c>
    </row>
    <row r="99" ht="14.25" customHeight="1">
      <c r="A99" s="7"/>
      <c r="B99" s="7"/>
      <c r="C99" s="7"/>
      <c r="D99" s="7"/>
      <c r="E99" s="1">
        <f>IFERROR(VLOOKUP(B99,Namirnice!$B$4:$J$200,9,FALSE),0)</f>
        <v>0</v>
      </c>
      <c r="F99" s="1">
        <f t="shared" si="1"/>
        <v>0</v>
      </c>
    </row>
    <row r="100" ht="14.25" customHeight="1">
      <c r="A100" s="7"/>
      <c r="B100" s="7"/>
      <c r="C100" s="7"/>
      <c r="D100" s="7"/>
      <c r="E100" s="1">
        <f>IFERROR(VLOOKUP(B100,Namirnice!$B$4:$J$200,9,FALSE),0)</f>
        <v>0</v>
      </c>
      <c r="F100" s="1">
        <f t="shared" si="1"/>
        <v>0</v>
      </c>
    </row>
    <row r="101" ht="14.25" customHeight="1">
      <c r="A101" s="7"/>
      <c r="B101" s="7"/>
      <c r="C101" s="7"/>
      <c r="D101" s="7"/>
      <c r="E101" s="1">
        <f>IFERROR(VLOOKUP(B101,Namirnice!$B$4:$J$200,9,FALSE),0)</f>
        <v>0</v>
      </c>
      <c r="F101" s="1">
        <f t="shared" si="1"/>
        <v>0</v>
      </c>
    </row>
    <row r="102" ht="14.25" customHeight="1">
      <c r="A102" s="7"/>
      <c r="B102" s="7"/>
      <c r="C102" s="7"/>
      <c r="D102" s="7"/>
      <c r="E102" s="1">
        <f>IFERROR(VLOOKUP(B102,Namirnice!$B$4:$J$200,9,FALSE),0)</f>
        <v>0</v>
      </c>
      <c r="F102" s="1">
        <f t="shared" si="1"/>
        <v>0</v>
      </c>
    </row>
    <row r="103" ht="14.25" customHeight="1">
      <c r="A103" s="7"/>
      <c r="B103" s="7"/>
      <c r="C103" s="7"/>
      <c r="D103" s="7"/>
      <c r="E103" s="1">
        <f>IFERROR(VLOOKUP(B103,Namirnice!$B$4:$J$200,9,FALSE),0)</f>
        <v>0</v>
      </c>
      <c r="F103" s="1">
        <f t="shared" si="1"/>
        <v>0</v>
      </c>
    </row>
    <row r="104" ht="14.25" customHeight="1">
      <c r="A104" s="7"/>
      <c r="B104" s="7"/>
      <c r="C104" s="7"/>
      <c r="D104" s="7"/>
      <c r="E104" s="1">
        <f>IFERROR(VLOOKUP(B104,Namirnice!$B$4:$J$200,9,FALSE),0)</f>
        <v>0</v>
      </c>
      <c r="F104" s="1">
        <f t="shared" si="1"/>
        <v>0</v>
      </c>
    </row>
    <row r="105" ht="14.25" customHeight="1">
      <c r="A105" s="7"/>
      <c r="B105" s="7"/>
      <c r="C105" s="7"/>
      <c r="D105" s="7"/>
      <c r="E105" s="1">
        <f>IFERROR(VLOOKUP(B105,Namirnice!$B$4:$J$200,9,FALSE),0)</f>
        <v>0</v>
      </c>
      <c r="F105" s="1">
        <f t="shared" si="1"/>
        <v>0</v>
      </c>
    </row>
    <row r="106" ht="14.25" customHeight="1">
      <c r="A106" s="7"/>
      <c r="B106" s="7"/>
      <c r="C106" s="7"/>
      <c r="D106" s="7"/>
      <c r="E106" s="1">
        <f>IFERROR(VLOOKUP(B106,Namirnice!$B$4:$J$200,9,FALSE),0)</f>
        <v>0</v>
      </c>
      <c r="F106" s="1">
        <f t="shared" si="1"/>
        <v>0</v>
      </c>
    </row>
    <row r="107" ht="14.25" customHeight="1">
      <c r="A107" s="7"/>
      <c r="B107" s="7"/>
      <c r="C107" s="7"/>
      <c r="D107" s="7"/>
      <c r="E107" s="1">
        <f>IFERROR(VLOOKUP(B107,Namirnice!$B$4:$J$200,9,FALSE),0)</f>
        <v>0</v>
      </c>
      <c r="F107" s="1">
        <f t="shared" si="1"/>
        <v>0</v>
      </c>
    </row>
    <row r="108" ht="14.25" customHeight="1">
      <c r="A108" s="7"/>
      <c r="B108" s="7"/>
      <c r="C108" s="7"/>
      <c r="D108" s="7"/>
      <c r="E108" s="1">
        <f>IFERROR(VLOOKUP(B108,Namirnice!$B$4:$J$200,9,FALSE),0)</f>
        <v>0</v>
      </c>
      <c r="F108" s="1">
        <f t="shared" si="1"/>
        <v>0</v>
      </c>
    </row>
    <row r="109" ht="14.25" customHeight="1">
      <c r="A109" s="7"/>
      <c r="B109" s="7"/>
      <c r="C109" s="7"/>
      <c r="D109" s="7"/>
      <c r="E109" s="1">
        <f>IFERROR(VLOOKUP(B109,Namirnice!$B$4:$J$200,9,FALSE),0)</f>
        <v>0</v>
      </c>
      <c r="F109" s="1">
        <f t="shared" si="1"/>
        <v>0</v>
      </c>
    </row>
    <row r="110" ht="14.25" customHeight="1">
      <c r="A110" s="7"/>
      <c r="B110" s="7"/>
      <c r="C110" s="7"/>
      <c r="D110" s="7"/>
      <c r="E110" s="1">
        <f>IFERROR(VLOOKUP(B110,Namirnice!$B$4:$J$200,9,FALSE),0)</f>
        <v>0</v>
      </c>
      <c r="F110" s="1">
        <f t="shared" si="1"/>
        <v>0</v>
      </c>
    </row>
    <row r="111" ht="14.25" customHeight="1">
      <c r="A111" s="7"/>
      <c r="B111" s="7"/>
      <c r="C111" s="7"/>
      <c r="D111" s="7"/>
      <c r="E111" s="1">
        <f>IFERROR(VLOOKUP(B111,Namirnice!$B$4:$J$200,9,FALSE),0)</f>
        <v>0</v>
      </c>
      <c r="F111" s="1">
        <f t="shared" si="1"/>
        <v>0</v>
      </c>
    </row>
    <row r="112" ht="14.25" customHeight="1">
      <c r="A112" s="7"/>
      <c r="B112" s="7"/>
      <c r="C112" s="7"/>
      <c r="D112" s="7"/>
      <c r="E112" s="1">
        <f>IFERROR(VLOOKUP(B112,Namirnice!$B$4:$J$200,9,FALSE),0)</f>
        <v>0</v>
      </c>
      <c r="F112" s="1">
        <f t="shared" si="1"/>
        <v>0</v>
      </c>
    </row>
    <row r="113" ht="14.25" customHeight="1">
      <c r="A113" s="7"/>
      <c r="B113" s="7"/>
      <c r="C113" s="7"/>
      <c r="D113" s="7"/>
      <c r="E113" s="1">
        <f>IFERROR(VLOOKUP(B113,Namirnice!$B$4:$J$200,9,FALSE),0)</f>
        <v>0</v>
      </c>
      <c r="F113" s="1">
        <f t="shared" si="1"/>
        <v>0</v>
      </c>
    </row>
    <row r="114" ht="14.25" customHeight="1">
      <c r="A114" s="7"/>
      <c r="B114" s="7"/>
      <c r="C114" s="7"/>
      <c r="D114" s="7"/>
      <c r="E114" s="1">
        <f>IFERROR(VLOOKUP(B114,Namirnice!$B$4:$J$200,9,FALSE),0)</f>
        <v>0</v>
      </c>
      <c r="F114" s="1">
        <f t="shared" si="1"/>
        <v>0</v>
      </c>
    </row>
    <row r="115" ht="14.25" customHeight="1">
      <c r="A115" s="7"/>
      <c r="B115" s="7"/>
      <c r="C115" s="7"/>
      <c r="D115" s="7"/>
      <c r="E115" s="1">
        <f>IFERROR(VLOOKUP(B115,Namirnice!$B$4:$J$200,9,FALSE),0)</f>
        <v>0</v>
      </c>
      <c r="F115" s="1">
        <f t="shared" si="1"/>
        <v>0</v>
      </c>
    </row>
    <row r="116" ht="14.25" customHeight="1">
      <c r="A116" s="7"/>
      <c r="B116" s="7"/>
      <c r="C116" s="7"/>
      <c r="D116" s="7"/>
      <c r="E116" s="1">
        <f>IFERROR(VLOOKUP(B116,Namirnice!$B$4:$J$200,9,FALSE),0)</f>
        <v>0</v>
      </c>
      <c r="F116" s="1">
        <f t="shared" si="1"/>
        <v>0</v>
      </c>
    </row>
    <row r="117" ht="14.25" customHeight="1">
      <c r="A117" s="7"/>
      <c r="B117" s="7"/>
      <c r="C117" s="7"/>
      <c r="D117" s="7"/>
      <c r="E117" s="1">
        <f>IFERROR(VLOOKUP(B117,Namirnice!$B$4:$J$200,9,FALSE),0)</f>
        <v>0</v>
      </c>
      <c r="F117" s="1">
        <f t="shared" si="1"/>
        <v>0</v>
      </c>
    </row>
    <row r="118" ht="14.25" customHeight="1">
      <c r="A118" s="7"/>
      <c r="B118" s="7"/>
      <c r="C118" s="7"/>
      <c r="D118" s="7"/>
      <c r="E118" s="1">
        <f>IFERROR(VLOOKUP(B118,Namirnice!$B$4:$J$200,9,FALSE),0)</f>
        <v>0</v>
      </c>
      <c r="F118" s="1">
        <f t="shared" si="1"/>
        <v>0</v>
      </c>
    </row>
    <row r="119" ht="14.25" customHeight="1">
      <c r="A119" s="7"/>
      <c r="B119" s="7"/>
      <c r="C119" s="7"/>
      <c r="D119" s="7"/>
      <c r="E119" s="1">
        <f>IFERROR(VLOOKUP(B119,Namirnice!$B$4:$J$200,9,FALSE),0)</f>
        <v>0</v>
      </c>
      <c r="F119" s="1">
        <f t="shared" si="1"/>
        <v>0</v>
      </c>
    </row>
    <row r="120" ht="14.25" customHeight="1">
      <c r="A120" s="7"/>
      <c r="B120" s="7"/>
      <c r="C120" s="7"/>
      <c r="D120" s="7"/>
      <c r="E120" s="1">
        <f>IFERROR(VLOOKUP(B120,Namirnice!$B$4:$J$200,9,FALSE),0)</f>
        <v>0</v>
      </c>
      <c r="F120" s="1">
        <f t="shared" si="1"/>
        <v>0</v>
      </c>
    </row>
    <row r="121" ht="14.25" customHeight="1">
      <c r="A121" s="7"/>
      <c r="B121" s="7"/>
      <c r="C121" s="7"/>
      <c r="D121" s="7"/>
      <c r="E121" s="1">
        <f>IFERROR(VLOOKUP(B121,Namirnice!$B$4:$J$200,9,FALSE),0)</f>
        <v>0</v>
      </c>
      <c r="F121" s="1">
        <f t="shared" si="1"/>
        <v>0</v>
      </c>
    </row>
    <row r="122" ht="14.25" customHeight="1">
      <c r="A122" s="7"/>
      <c r="B122" s="7"/>
      <c r="C122" s="7"/>
      <c r="D122" s="7"/>
      <c r="E122" s="1">
        <f>IFERROR(VLOOKUP(B122,Namirnice!$B$4:$J$200,9,FALSE),0)</f>
        <v>0</v>
      </c>
      <c r="F122" s="1">
        <f t="shared" si="1"/>
        <v>0</v>
      </c>
    </row>
    <row r="123" ht="14.25" customHeight="1">
      <c r="A123" s="7"/>
      <c r="B123" s="7"/>
      <c r="C123" s="7"/>
      <c r="D123" s="7"/>
      <c r="E123" s="1">
        <f>IFERROR(VLOOKUP(B123,Namirnice!$B$4:$J$200,9,FALSE),0)</f>
        <v>0</v>
      </c>
      <c r="F123" s="1">
        <f t="shared" si="1"/>
        <v>0</v>
      </c>
    </row>
    <row r="124" ht="14.25" customHeight="1">
      <c r="A124" s="7"/>
      <c r="B124" s="7"/>
      <c r="C124" s="7"/>
      <c r="D124" s="7"/>
      <c r="E124" s="1">
        <f>IFERROR(VLOOKUP(B124,Namirnice!$B$4:$J$200,9,FALSE),0)</f>
        <v>0</v>
      </c>
      <c r="F124" s="1">
        <f t="shared" si="1"/>
        <v>0</v>
      </c>
    </row>
    <row r="125" ht="14.25" customHeight="1">
      <c r="A125" s="7"/>
      <c r="B125" s="7"/>
      <c r="C125" s="7"/>
      <c r="D125" s="7"/>
      <c r="E125" s="1">
        <f>IFERROR(VLOOKUP(B125,Namirnice!$B$4:$J$200,9,FALSE),0)</f>
        <v>0</v>
      </c>
      <c r="F125" s="1">
        <f t="shared" si="1"/>
        <v>0</v>
      </c>
    </row>
    <row r="126" ht="14.25" customHeight="1">
      <c r="A126" s="7"/>
      <c r="B126" s="7"/>
      <c r="C126" s="7"/>
      <c r="D126" s="7"/>
      <c r="E126" s="1">
        <f>IFERROR(VLOOKUP(B126,Namirnice!$B$4:$J$200,9,FALSE),0)</f>
        <v>0</v>
      </c>
      <c r="F126" s="1">
        <f t="shared" si="1"/>
        <v>0</v>
      </c>
    </row>
    <row r="127" ht="14.25" customHeight="1">
      <c r="A127" s="7"/>
      <c r="B127" s="7"/>
      <c r="C127" s="7"/>
      <c r="D127" s="7"/>
      <c r="E127" s="1">
        <f>IFERROR(VLOOKUP(B127,Namirnice!$B$4:$J$200,9,FALSE),0)</f>
        <v>0</v>
      </c>
      <c r="F127" s="1">
        <f t="shared" si="1"/>
        <v>0</v>
      </c>
    </row>
    <row r="128" ht="14.25" customHeight="1">
      <c r="A128" s="7"/>
      <c r="B128" s="7"/>
      <c r="C128" s="7"/>
      <c r="D128" s="7"/>
      <c r="E128" s="1">
        <f>IFERROR(VLOOKUP(B128,Namirnice!$B$4:$J$200,9,FALSE),0)</f>
        <v>0</v>
      </c>
      <c r="F128" s="1">
        <f t="shared" si="1"/>
        <v>0</v>
      </c>
    </row>
    <row r="129" ht="14.25" customHeight="1">
      <c r="A129" s="7"/>
      <c r="B129" s="7"/>
      <c r="C129" s="7"/>
      <c r="D129" s="7"/>
      <c r="E129" s="1">
        <f>IFERROR(VLOOKUP(B129,Namirnice!$B$4:$J$200,9,FALSE),0)</f>
        <v>0</v>
      </c>
      <c r="F129" s="1">
        <f t="shared" si="1"/>
        <v>0</v>
      </c>
    </row>
    <row r="130" ht="14.25" customHeight="1">
      <c r="A130" s="7"/>
      <c r="B130" s="7"/>
      <c r="C130" s="7"/>
      <c r="D130" s="7"/>
      <c r="E130" s="1">
        <f>IFERROR(VLOOKUP(B130,Namirnice!$B$4:$J$200,9,FALSE),0)</f>
        <v>0</v>
      </c>
      <c r="F130" s="1">
        <f t="shared" si="1"/>
        <v>0</v>
      </c>
    </row>
    <row r="131" ht="14.25" customHeight="1">
      <c r="A131" s="7"/>
      <c r="B131" s="7"/>
      <c r="C131" s="7"/>
      <c r="D131" s="7"/>
      <c r="E131" s="1">
        <f>IFERROR(VLOOKUP(B131,Namirnice!$B$4:$J$200,9,FALSE),0)</f>
        <v>0</v>
      </c>
      <c r="F131" s="1">
        <f t="shared" si="1"/>
        <v>0</v>
      </c>
    </row>
    <row r="132" ht="14.25" customHeight="1">
      <c r="A132" s="7"/>
      <c r="B132" s="7"/>
      <c r="C132" s="7"/>
      <c r="D132" s="7"/>
      <c r="E132" s="1">
        <f>IFERROR(VLOOKUP(B132,Namirnice!$B$4:$J$200,9,FALSE),0)</f>
        <v>0</v>
      </c>
      <c r="F132" s="1">
        <f t="shared" si="1"/>
        <v>0</v>
      </c>
    </row>
    <row r="133" ht="14.25" customHeight="1">
      <c r="A133" s="7"/>
      <c r="B133" s="7"/>
      <c r="C133" s="7"/>
      <c r="D133" s="7"/>
      <c r="E133" s="1">
        <f>IFERROR(VLOOKUP(B133,Namirnice!$B$4:$J$200,9,FALSE),0)</f>
        <v>0</v>
      </c>
      <c r="F133" s="1">
        <f t="shared" si="1"/>
        <v>0</v>
      </c>
    </row>
    <row r="134" ht="14.25" customHeight="1">
      <c r="A134" s="7"/>
      <c r="B134" s="7"/>
      <c r="C134" s="7"/>
      <c r="D134" s="7"/>
      <c r="E134" s="1">
        <f>IFERROR(VLOOKUP(B134,Namirnice!$B$4:$J$200,9,FALSE),0)</f>
        <v>0</v>
      </c>
      <c r="F134" s="1">
        <f t="shared" si="1"/>
        <v>0</v>
      </c>
    </row>
    <row r="135" ht="14.25" customHeight="1">
      <c r="A135" s="7"/>
      <c r="B135" s="7"/>
      <c r="C135" s="7"/>
      <c r="D135" s="7"/>
      <c r="E135" s="1">
        <f>IFERROR(VLOOKUP(B135,Namirnice!$B$4:$J$200,9,FALSE),0)</f>
        <v>0</v>
      </c>
      <c r="F135" s="1">
        <f t="shared" si="1"/>
        <v>0</v>
      </c>
    </row>
    <row r="136" ht="14.25" customHeight="1">
      <c r="A136" s="7"/>
      <c r="B136" s="7"/>
      <c r="C136" s="7"/>
      <c r="D136" s="7"/>
      <c r="E136" s="1">
        <f>IFERROR(VLOOKUP(B136,Namirnice!$B$4:$J$200,9,FALSE),0)</f>
        <v>0</v>
      </c>
      <c r="F136" s="1">
        <f t="shared" si="1"/>
        <v>0</v>
      </c>
    </row>
    <row r="137" ht="14.25" customHeight="1">
      <c r="A137" s="7"/>
      <c r="B137" s="7"/>
      <c r="C137" s="7"/>
      <c r="D137" s="7"/>
      <c r="E137" s="1">
        <f>IFERROR(VLOOKUP(B137,Namirnice!$B$4:$J$200,9,FALSE),0)</f>
        <v>0</v>
      </c>
      <c r="F137" s="1">
        <f t="shared" si="1"/>
        <v>0</v>
      </c>
    </row>
    <row r="138" ht="14.25" customHeight="1">
      <c r="A138" s="7"/>
      <c r="B138" s="7"/>
      <c r="C138" s="7"/>
      <c r="D138" s="7"/>
      <c r="E138" s="1">
        <f>IFERROR(VLOOKUP(B138,Namirnice!$B$4:$J$200,9,FALSE),0)</f>
        <v>0</v>
      </c>
      <c r="F138" s="1">
        <f t="shared" si="1"/>
        <v>0</v>
      </c>
    </row>
    <row r="139" ht="14.25" customHeight="1">
      <c r="A139" s="7"/>
      <c r="B139" s="7"/>
      <c r="C139" s="7"/>
      <c r="D139" s="7"/>
      <c r="E139" s="1">
        <f>IFERROR(VLOOKUP(B139,Namirnice!$B$4:$J$200,9,FALSE),0)</f>
        <v>0</v>
      </c>
      <c r="F139" s="1">
        <f t="shared" si="1"/>
        <v>0</v>
      </c>
    </row>
    <row r="140" ht="14.25" customHeight="1">
      <c r="A140" s="7"/>
      <c r="B140" s="7"/>
      <c r="C140" s="7"/>
      <c r="D140" s="7"/>
      <c r="E140" s="1">
        <f>IFERROR(VLOOKUP(B140,Namirnice!$B$4:$J$200,9,FALSE),0)</f>
        <v>0</v>
      </c>
      <c r="F140" s="1">
        <f t="shared" si="1"/>
        <v>0</v>
      </c>
    </row>
    <row r="141" ht="14.25" customHeight="1">
      <c r="A141" s="7"/>
      <c r="B141" s="7"/>
      <c r="C141" s="7"/>
      <c r="D141" s="7"/>
      <c r="E141" s="1">
        <f>IFERROR(VLOOKUP(B141,Namirnice!$B$4:$J$200,9,FALSE),0)</f>
        <v>0</v>
      </c>
      <c r="F141" s="1">
        <f t="shared" si="1"/>
        <v>0</v>
      </c>
    </row>
    <row r="142" ht="14.25" customHeight="1">
      <c r="A142" s="7"/>
      <c r="B142" s="7"/>
      <c r="C142" s="7"/>
      <c r="D142" s="7"/>
      <c r="E142" s="1">
        <f>IFERROR(VLOOKUP(B142,Namirnice!$B$4:$J$200,9,FALSE),0)</f>
        <v>0</v>
      </c>
      <c r="F142" s="1">
        <f t="shared" si="1"/>
        <v>0</v>
      </c>
    </row>
    <row r="143" ht="14.25" customHeight="1">
      <c r="A143" s="7"/>
      <c r="B143" s="7"/>
      <c r="C143" s="7"/>
      <c r="D143" s="7"/>
      <c r="E143" s="1">
        <f>IFERROR(VLOOKUP(B143,Namirnice!$B$4:$J$200,9,FALSE),0)</f>
        <v>0</v>
      </c>
      <c r="F143" s="1">
        <f t="shared" si="1"/>
        <v>0</v>
      </c>
    </row>
    <row r="144" ht="14.25" customHeight="1">
      <c r="A144" s="7"/>
      <c r="B144" s="7"/>
      <c r="C144" s="7"/>
      <c r="D144" s="7"/>
      <c r="E144" s="1">
        <f>IFERROR(VLOOKUP(B144,Namirnice!$B$4:$J$200,9,FALSE),0)</f>
        <v>0</v>
      </c>
      <c r="F144" s="1">
        <f t="shared" si="1"/>
        <v>0</v>
      </c>
    </row>
    <row r="145" ht="14.25" customHeight="1">
      <c r="A145" s="7"/>
      <c r="B145" s="7"/>
      <c r="C145" s="7"/>
      <c r="D145" s="7"/>
      <c r="E145" s="1">
        <f>IFERROR(VLOOKUP(B145,Namirnice!$B$4:$J$200,9,FALSE),0)</f>
        <v>0</v>
      </c>
      <c r="F145" s="1">
        <f t="shared" si="1"/>
        <v>0</v>
      </c>
    </row>
    <row r="146" ht="14.25" customHeight="1">
      <c r="A146" s="7"/>
      <c r="B146" s="7"/>
      <c r="C146" s="7"/>
      <c r="D146" s="7"/>
      <c r="E146" s="1">
        <f>IFERROR(VLOOKUP(B146,Namirnice!$B$4:$J$200,9,FALSE),0)</f>
        <v>0</v>
      </c>
      <c r="F146" s="1">
        <f t="shared" si="1"/>
        <v>0</v>
      </c>
    </row>
    <row r="147" ht="14.25" customHeight="1">
      <c r="A147" s="7"/>
      <c r="B147" s="7"/>
      <c r="C147" s="7"/>
      <c r="D147" s="7"/>
      <c r="E147" s="1">
        <f>IFERROR(VLOOKUP(B147,Namirnice!$B$4:$J$200,9,FALSE),0)</f>
        <v>0</v>
      </c>
      <c r="F147" s="1">
        <f t="shared" si="1"/>
        <v>0</v>
      </c>
    </row>
    <row r="148" ht="14.25" customHeight="1">
      <c r="A148" s="7"/>
      <c r="B148" s="7"/>
      <c r="C148" s="7"/>
      <c r="D148" s="7"/>
      <c r="E148" s="1">
        <f>IFERROR(VLOOKUP(B148,Namirnice!$B$4:$J$200,9,FALSE),0)</f>
        <v>0</v>
      </c>
      <c r="F148" s="1">
        <f t="shared" si="1"/>
        <v>0</v>
      </c>
    </row>
    <row r="149" ht="14.25" customHeight="1">
      <c r="A149" s="7"/>
      <c r="B149" s="7"/>
      <c r="C149" s="7"/>
      <c r="D149" s="7"/>
      <c r="E149" s="1">
        <f>IFERROR(VLOOKUP(B149,Namirnice!$B$4:$J$200,9,FALSE),0)</f>
        <v>0</v>
      </c>
      <c r="F149" s="1">
        <f t="shared" si="1"/>
        <v>0</v>
      </c>
    </row>
    <row r="150" ht="14.25" customHeight="1">
      <c r="A150" s="7"/>
      <c r="B150" s="7"/>
      <c r="C150" s="7"/>
      <c r="D150" s="7"/>
      <c r="E150" s="1">
        <f>IFERROR(VLOOKUP(B150,Namirnice!$B$4:$J$200,9,FALSE),0)</f>
        <v>0</v>
      </c>
      <c r="F150" s="1">
        <f t="shared" si="1"/>
        <v>0</v>
      </c>
    </row>
    <row r="151" ht="14.25" customHeight="1">
      <c r="A151" s="7"/>
      <c r="B151" s="7"/>
      <c r="C151" s="7"/>
      <c r="D151" s="7"/>
      <c r="E151" s="1">
        <f>IFERROR(VLOOKUP(B151,Namirnice!$B$4:$J$200,9,FALSE),0)</f>
        <v>0</v>
      </c>
      <c r="F151" s="1">
        <f t="shared" si="1"/>
        <v>0</v>
      </c>
    </row>
    <row r="152" ht="14.25" customHeight="1">
      <c r="A152" s="7"/>
      <c r="B152" s="7"/>
      <c r="C152" s="7"/>
      <c r="D152" s="7"/>
      <c r="E152" s="1">
        <f>IFERROR(VLOOKUP(B152,Namirnice!$B$4:$J$200,9,FALSE),0)</f>
        <v>0</v>
      </c>
      <c r="F152" s="1">
        <f t="shared" si="1"/>
        <v>0</v>
      </c>
    </row>
    <row r="153" ht="14.25" customHeight="1">
      <c r="A153" s="7"/>
      <c r="B153" s="7"/>
      <c r="C153" s="7"/>
      <c r="D153" s="7"/>
      <c r="E153" s="1">
        <f>IFERROR(VLOOKUP(B153,Namirnice!$B$4:$J$200,9,FALSE),0)</f>
        <v>0</v>
      </c>
      <c r="F153" s="1">
        <f t="shared" si="1"/>
        <v>0</v>
      </c>
    </row>
    <row r="154" ht="14.25" customHeight="1">
      <c r="A154" s="7"/>
      <c r="B154" s="7"/>
      <c r="C154" s="7"/>
      <c r="D154" s="7"/>
      <c r="E154" s="1">
        <f>IFERROR(VLOOKUP(B154,Namirnice!$B$4:$J$200,9,FALSE),0)</f>
        <v>0</v>
      </c>
      <c r="F154" s="1">
        <f t="shared" si="1"/>
        <v>0</v>
      </c>
    </row>
    <row r="155" ht="14.25" customHeight="1">
      <c r="A155" s="7"/>
      <c r="B155" s="7"/>
      <c r="C155" s="7"/>
      <c r="D155" s="7"/>
      <c r="E155" s="1">
        <f>IFERROR(VLOOKUP(B155,Namirnice!$B$4:$J$200,9,FALSE),0)</f>
        <v>0</v>
      </c>
      <c r="F155" s="1">
        <f t="shared" si="1"/>
        <v>0</v>
      </c>
    </row>
    <row r="156" ht="14.25" customHeight="1">
      <c r="A156" s="7"/>
      <c r="B156" s="7"/>
      <c r="C156" s="7"/>
      <c r="D156" s="7"/>
      <c r="E156" s="1">
        <f>IFERROR(VLOOKUP(B156,Namirnice!$B$4:$J$200,9,FALSE),0)</f>
        <v>0</v>
      </c>
      <c r="F156" s="1">
        <f t="shared" si="1"/>
        <v>0</v>
      </c>
    </row>
    <row r="157" ht="14.25" customHeight="1">
      <c r="A157" s="7"/>
      <c r="B157" s="7"/>
      <c r="C157" s="7"/>
      <c r="D157" s="7"/>
      <c r="E157" s="1">
        <f>IFERROR(VLOOKUP(B157,Namirnice!$B$4:$J$200,9,FALSE),0)</f>
        <v>0</v>
      </c>
      <c r="F157" s="1">
        <f t="shared" si="1"/>
        <v>0</v>
      </c>
    </row>
    <row r="158" ht="14.25" customHeight="1">
      <c r="A158" s="7"/>
      <c r="B158" s="7"/>
      <c r="C158" s="7"/>
      <c r="D158" s="7"/>
      <c r="E158" s="1">
        <f>IFERROR(VLOOKUP(B158,Namirnice!$B$4:$J$200,9,FALSE),0)</f>
        <v>0</v>
      </c>
      <c r="F158" s="1">
        <f t="shared" si="1"/>
        <v>0</v>
      </c>
    </row>
    <row r="159" ht="14.25" customHeight="1">
      <c r="A159" s="7"/>
      <c r="B159" s="7"/>
      <c r="C159" s="7"/>
      <c r="D159" s="7"/>
      <c r="E159" s="1">
        <f>IFERROR(VLOOKUP(B159,Namirnice!$B$4:$J$200,9,FALSE),0)</f>
        <v>0</v>
      </c>
      <c r="F159" s="1">
        <f t="shared" si="1"/>
        <v>0</v>
      </c>
    </row>
    <row r="160" ht="14.25" customHeight="1">
      <c r="A160" s="7"/>
      <c r="B160" s="7"/>
      <c r="C160" s="7"/>
      <c r="D160" s="7"/>
      <c r="E160" s="1">
        <f>IFERROR(VLOOKUP(B160,Namirnice!$B$4:$J$200,9,FALSE),0)</f>
        <v>0</v>
      </c>
      <c r="F160" s="1">
        <f t="shared" si="1"/>
        <v>0</v>
      </c>
    </row>
    <row r="161" ht="14.25" customHeight="1">
      <c r="A161" s="7"/>
      <c r="B161" s="7"/>
      <c r="C161" s="7"/>
      <c r="D161" s="7"/>
      <c r="E161" s="1">
        <f>IFERROR(VLOOKUP(B161,Namirnice!$B$4:$J$200,9,FALSE),0)</f>
        <v>0</v>
      </c>
      <c r="F161" s="1">
        <f t="shared" si="1"/>
        <v>0</v>
      </c>
    </row>
    <row r="162" ht="14.25" customHeight="1">
      <c r="A162" s="7"/>
      <c r="B162" s="7"/>
      <c r="C162" s="7"/>
      <c r="D162" s="7"/>
      <c r="E162" s="1">
        <f>IFERROR(VLOOKUP(B162,Namirnice!$B$4:$J$200,9,FALSE),0)</f>
        <v>0</v>
      </c>
      <c r="F162" s="1">
        <f t="shared" si="1"/>
        <v>0</v>
      </c>
    </row>
    <row r="163" ht="14.25" customHeight="1">
      <c r="A163" s="7"/>
      <c r="B163" s="7"/>
      <c r="C163" s="7"/>
      <c r="D163" s="7"/>
      <c r="E163" s="1">
        <f>IFERROR(VLOOKUP(B163,Namirnice!$B$4:$J$200,9,FALSE),0)</f>
        <v>0</v>
      </c>
      <c r="F163" s="1">
        <f t="shared" si="1"/>
        <v>0</v>
      </c>
    </row>
    <row r="164" ht="14.25" customHeight="1">
      <c r="A164" s="7"/>
      <c r="B164" s="7"/>
      <c r="C164" s="7"/>
      <c r="D164" s="7"/>
      <c r="E164" s="1">
        <f>IFERROR(VLOOKUP(B164,Namirnice!$B$4:$J$200,9,FALSE),0)</f>
        <v>0</v>
      </c>
      <c r="F164" s="1">
        <f t="shared" si="1"/>
        <v>0</v>
      </c>
    </row>
    <row r="165" ht="14.25" customHeight="1">
      <c r="A165" s="7"/>
      <c r="B165" s="7"/>
      <c r="C165" s="7"/>
      <c r="D165" s="7"/>
      <c r="E165" s="1">
        <f>IFERROR(VLOOKUP(B165,Namirnice!$B$4:$J$200,9,FALSE),0)</f>
        <v>0</v>
      </c>
      <c r="F165" s="1">
        <f t="shared" si="1"/>
        <v>0</v>
      </c>
    </row>
    <row r="166" ht="14.25" customHeight="1">
      <c r="A166" s="7"/>
      <c r="B166" s="7"/>
      <c r="C166" s="7"/>
      <c r="D166" s="7"/>
      <c r="E166" s="1">
        <f>IFERROR(VLOOKUP(B166,Namirnice!$B$4:$J$200,9,FALSE),0)</f>
        <v>0</v>
      </c>
      <c r="F166" s="1">
        <f t="shared" si="1"/>
        <v>0</v>
      </c>
    </row>
    <row r="167" ht="14.25" customHeight="1">
      <c r="A167" s="7"/>
      <c r="B167" s="7"/>
      <c r="C167" s="7"/>
      <c r="D167" s="7"/>
      <c r="E167" s="1">
        <f>IFERROR(VLOOKUP(B167,Namirnice!$B$4:$J$200,9,FALSE),0)</f>
        <v>0</v>
      </c>
      <c r="F167" s="1">
        <f t="shared" si="1"/>
        <v>0</v>
      </c>
    </row>
    <row r="168" ht="14.25" customHeight="1">
      <c r="A168" s="7"/>
      <c r="B168" s="7"/>
      <c r="C168" s="7"/>
      <c r="D168" s="7"/>
      <c r="E168" s="1">
        <f>IFERROR(VLOOKUP(B168,Namirnice!$B$4:$J$200,9,FALSE),0)</f>
        <v>0</v>
      </c>
      <c r="F168" s="1">
        <f t="shared" si="1"/>
        <v>0</v>
      </c>
    </row>
    <row r="169" ht="14.25" customHeight="1">
      <c r="A169" s="7"/>
      <c r="B169" s="7"/>
      <c r="C169" s="7"/>
      <c r="D169" s="7"/>
      <c r="E169" s="1">
        <f>IFERROR(VLOOKUP(B169,Namirnice!$B$4:$J$200,9,FALSE),0)</f>
        <v>0</v>
      </c>
      <c r="F169" s="1">
        <f t="shared" si="1"/>
        <v>0</v>
      </c>
    </row>
    <row r="170" ht="14.25" customHeight="1">
      <c r="A170" s="7"/>
      <c r="B170" s="7"/>
      <c r="C170" s="7"/>
      <c r="D170" s="7"/>
      <c r="E170" s="1">
        <f>IFERROR(VLOOKUP(B170,Namirnice!$B$4:$J$200,9,FALSE),0)</f>
        <v>0</v>
      </c>
      <c r="F170" s="1">
        <f t="shared" si="1"/>
        <v>0</v>
      </c>
    </row>
    <row r="171" ht="14.25" customHeight="1">
      <c r="A171" s="7"/>
      <c r="B171" s="7"/>
      <c r="C171" s="7"/>
      <c r="D171" s="7"/>
      <c r="E171" s="1">
        <f>IFERROR(VLOOKUP(B171,Namirnice!$B$4:$J$200,9,FALSE),0)</f>
        <v>0</v>
      </c>
      <c r="F171" s="1">
        <f t="shared" si="1"/>
        <v>0</v>
      </c>
    </row>
    <row r="172" ht="14.25" customHeight="1">
      <c r="A172" s="7"/>
      <c r="B172" s="7"/>
      <c r="C172" s="7"/>
      <c r="D172" s="7"/>
      <c r="E172" s="1">
        <f>IFERROR(VLOOKUP(B172,Namirnice!$B$4:$J$200,9,FALSE),0)</f>
        <v>0</v>
      </c>
      <c r="F172" s="1">
        <f t="shared" si="1"/>
        <v>0</v>
      </c>
    </row>
    <row r="173" ht="14.25" customHeight="1">
      <c r="A173" s="7"/>
      <c r="B173" s="7"/>
      <c r="C173" s="7"/>
      <c r="D173" s="7"/>
      <c r="E173" s="1">
        <f>IFERROR(VLOOKUP(B173,Namirnice!$B$4:$J$200,9,FALSE),0)</f>
        <v>0</v>
      </c>
      <c r="F173" s="1">
        <f t="shared" si="1"/>
        <v>0</v>
      </c>
    </row>
    <row r="174" ht="14.25" customHeight="1">
      <c r="A174" s="7"/>
      <c r="B174" s="7"/>
      <c r="C174" s="7"/>
      <c r="D174" s="7"/>
      <c r="E174" s="1">
        <f>IFERROR(VLOOKUP(B174,Namirnice!$B$4:$J$200,9,FALSE),0)</f>
        <v>0</v>
      </c>
      <c r="F174" s="1">
        <f t="shared" si="1"/>
        <v>0</v>
      </c>
    </row>
    <row r="175" ht="14.25" customHeight="1">
      <c r="A175" s="7"/>
      <c r="B175" s="7"/>
      <c r="C175" s="7"/>
      <c r="D175" s="7"/>
      <c r="E175" s="1">
        <f>IFERROR(VLOOKUP(B175,Namirnice!$B$4:$J$200,9,FALSE),0)</f>
        <v>0</v>
      </c>
      <c r="F175" s="1">
        <f t="shared" si="1"/>
        <v>0</v>
      </c>
    </row>
    <row r="176" ht="14.25" customHeight="1">
      <c r="A176" s="7"/>
      <c r="B176" s="7"/>
      <c r="C176" s="7"/>
      <c r="D176" s="7"/>
      <c r="E176" s="1">
        <f>IFERROR(VLOOKUP(B176,Namirnice!$B$4:$J$200,9,FALSE),0)</f>
        <v>0</v>
      </c>
      <c r="F176" s="1">
        <f t="shared" si="1"/>
        <v>0</v>
      </c>
    </row>
    <row r="177" ht="14.25" customHeight="1">
      <c r="A177" s="7"/>
      <c r="B177" s="7"/>
      <c r="C177" s="7"/>
      <c r="D177" s="7"/>
      <c r="E177" s="1">
        <f>IFERROR(VLOOKUP(B177,Namirnice!$B$4:$J$200,9,FALSE),0)</f>
        <v>0</v>
      </c>
      <c r="F177" s="1">
        <f t="shared" si="1"/>
        <v>0</v>
      </c>
    </row>
    <row r="178" ht="14.25" customHeight="1">
      <c r="A178" s="7"/>
      <c r="B178" s="7"/>
      <c r="C178" s="7"/>
      <c r="D178" s="7"/>
      <c r="E178" s="1">
        <f>IFERROR(VLOOKUP(B178,Namirnice!$B$4:$J$200,9,FALSE),0)</f>
        <v>0</v>
      </c>
      <c r="F178" s="1">
        <f t="shared" si="1"/>
        <v>0</v>
      </c>
    </row>
    <row r="179" ht="14.25" customHeight="1">
      <c r="A179" s="7"/>
      <c r="B179" s="7"/>
      <c r="C179" s="7"/>
      <c r="D179" s="7"/>
      <c r="E179" s="1">
        <f>IFERROR(VLOOKUP(B179,Namirnice!$B$4:$J$200,9,FALSE),0)</f>
        <v>0</v>
      </c>
      <c r="F179" s="1">
        <f t="shared" si="1"/>
        <v>0</v>
      </c>
    </row>
    <row r="180" ht="14.25" customHeight="1">
      <c r="A180" s="7"/>
      <c r="B180" s="7"/>
      <c r="C180" s="7"/>
      <c r="D180" s="7"/>
      <c r="E180" s="1">
        <f>IFERROR(VLOOKUP(B180,Namirnice!$B$4:$J$200,9,FALSE),0)</f>
        <v>0</v>
      </c>
      <c r="F180" s="1">
        <f t="shared" si="1"/>
        <v>0</v>
      </c>
    </row>
    <row r="181" ht="14.25" customHeight="1">
      <c r="A181" s="7"/>
      <c r="B181" s="7"/>
      <c r="C181" s="7"/>
      <c r="D181" s="7"/>
      <c r="E181" s="1">
        <f>IFERROR(VLOOKUP(B181,Namirnice!$B$4:$J$200,9,FALSE),0)</f>
        <v>0</v>
      </c>
      <c r="F181" s="1">
        <f t="shared" si="1"/>
        <v>0</v>
      </c>
    </row>
    <row r="182" ht="14.25" customHeight="1">
      <c r="A182" s="7"/>
      <c r="B182" s="7"/>
      <c r="C182" s="7"/>
      <c r="D182" s="7"/>
      <c r="E182" s="1">
        <f>IFERROR(VLOOKUP(B182,Namirnice!$B$4:$J$200,9,FALSE),0)</f>
        <v>0</v>
      </c>
      <c r="F182" s="1">
        <f t="shared" si="1"/>
        <v>0</v>
      </c>
    </row>
    <row r="183" ht="14.25" customHeight="1">
      <c r="A183" s="7"/>
      <c r="B183" s="7"/>
      <c r="C183" s="7"/>
      <c r="D183" s="7"/>
      <c r="E183" s="1">
        <f>IFERROR(VLOOKUP(B183,Namirnice!$B$4:$J$200,9,FALSE),0)</f>
        <v>0</v>
      </c>
      <c r="F183" s="1">
        <f t="shared" si="1"/>
        <v>0</v>
      </c>
    </row>
    <row r="184" ht="14.25" customHeight="1">
      <c r="A184" s="7"/>
      <c r="B184" s="7"/>
      <c r="C184" s="7"/>
      <c r="D184" s="7"/>
      <c r="E184" s="1">
        <f>IFERROR(VLOOKUP(B184,Namirnice!$B$4:$J$200,9,FALSE),0)</f>
        <v>0</v>
      </c>
      <c r="F184" s="1">
        <f t="shared" si="1"/>
        <v>0</v>
      </c>
    </row>
    <row r="185" ht="14.25" customHeight="1">
      <c r="A185" s="7"/>
      <c r="B185" s="7"/>
      <c r="C185" s="7"/>
      <c r="D185" s="7"/>
      <c r="E185" s="1">
        <f>IFERROR(VLOOKUP(B185,Namirnice!$B$4:$J$200,9,FALSE),0)</f>
        <v>0</v>
      </c>
      <c r="F185" s="1">
        <f t="shared" si="1"/>
        <v>0</v>
      </c>
    </row>
    <row r="186" ht="14.25" customHeight="1">
      <c r="A186" s="7"/>
      <c r="B186" s="7"/>
      <c r="C186" s="7"/>
      <c r="D186" s="7"/>
      <c r="E186" s="1">
        <f>IFERROR(VLOOKUP(B186,Namirnice!$B$4:$J$200,9,FALSE),0)</f>
        <v>0</v>
      </c>
      <c r="F186" s="1">
        <f t="shared" si="1"/>
        <v>0</v>
      </c>
    </row>
    <row r="187" ht="14.25" customHeight="1">
      <c r="A187" s="7"/>
      <c r="B187" s="7"/>
      <c r="C187" s="7"/>
      <c r="D187" s="7"/>
      <c r="E187" s="1">
        <f>IFERROR(VLOOKUP(B187,Namirnice!$B$4:$J$200,9,FALSE),0)</f>
        <v>0</v>
      </c>
      <c r="F187" s="1">
        <f t="shared" si="1"/>
        <v>0</v>
      </c>
    </row>
    <row r="188" ht="14.25" customHeight="1">
      <c r="A188" s="7"/>
      <c r="B188" s="7"/>
      <c r="C188" s="7"/>
      <c r="D188" s="7"/>
      <c r="E188" s="1">
        <f>IFERROR(VLOOKUP(B188,Namirnice!$B$4:$J$200,9,FALSE),0)</f>
        <v>0</v>
      </c>
      <c r="F188" s="1">
        <f t="shared" si="1"/>
        <v>0</v>
      </c>
    </row>
    <row r="189" ht="14.25" customHeight="1">
      <c r="A189" s="7"/>
      <c r="B189" s="7"/>
      <c r="C189" s="7"/>
      <c r="D189" s="7"/>
      <c r="E189" s="1">
        <f>IFERROR(VLOOKUP(B189,Namirnice!$B$4:$J$200,9,FALSE),0)</f>
        <v>0</v>
      </c>
      <c r="F189" s="1">
        <f t="shared" si="1"/>
        <v>0</v>
      </c>
    </row>
    <row r="190" ht="14.25" customHeight="1">
      <c r="A190" s="7"/>
      <c r="B190" s="7"/>
      <c r="C190" s="7"/>
      <c r="D190" s="7"/>
      <c r="E190" s="1">
        <f>IFERROR(VLOOKUP(B190,Namirnice!$B$4:$J$200,9,FALSE),0)</f>
        <v>0</v>
      </c>
      <c r="F190" s="1">
        <f t="shared" si="1"/>
        <v>0</v>
      </c>
    </row>
    <row r="191" ht="14.25" customHeight="1">
      <c r="A191" s="7"/>
      <c r="B191" s="7"/>
      <c r="C191" s="7"/>
      <c r="D191" s="7"/>
      <c r="E191" s="1">
        <f>IFERROR(VLOOKUP(B191,Namirnice!$B$4:$J$200,9,FALSE),0)</f>
        <v>0</v>
      </c>
      <c r="F191" s="1">
        <f t="shared" si="1"/>
        <v>0</v>
      </c>
    </row>
    <row r="192" ht="14.25" customHeight="1">
      <c r="A192" s="7"/>
      <c r="B192" s="7"/>
      <c r="C192" s="7"/>
      <c r="D192" s="7"/>
      <c r="E192" s="1">
        <f>IFERROR(VLOOKUP(B192,Namirnice!$B$4:$J$200,9,FALSE),0)</f>
        <v>0</v>
      </c>
      <c r="F192" s="1">
        <f t="shared" si="1"/>
        <v>0</v>
      </c>
    </row>
    <row r="193" ht="14.25" customHeight="1">
      <c r="A193" s="7"/>
      <c r="B193" s="7"/>
      <c r="C193" s="7"/>
      <c r="D193" s="7"/>
      <c r="E193" s="1">
        <f>IFERROR(VLOOKUP(B193,Namirnice!$B$4:$J$200,9,FALSE),0)</f>
        <v>0</v>
      </c>
      <c r="F193" s="1">
        <f t="shared" si="1"/>
        <v>0</v>
      </c>
    </row>
    <row r="194" ht="14.25" customHeight="1">
      <c r="A194" s="7"/>
      <c r="B194" s="7"/>
      <c r="C194" s="7"/>
      <c r="D194" s="7"/>
      <c r="E194" s="1">
        <f>IFERROR(VLOOKUP(B194,Namirnice!$B$4:$J$200,9,FALSE),0)</f>
        <v>0</v>
      </c>
      <c r="F194" s="1">
        <f t="shared" si="1"/>
        <v>0</v>
      </c>
    </row>
    <row r="195" ht="14.25" customHeight="1">
      <c r="A195" s="7"/>
      <c r="B195" s="7"/>
      <c r="C195" s="7"/>
      <c r="D195" s="7"/>
      <c r="E195" s="1">
        <f>IFERROR(VLOOKUP(B195,Namirnice!$B$4:$J$200,9,FALSE),0)</f>
        <v>0</v>
      </c>
      <c r="F195" s="1">
        <f t="shared" si="1"/>
        <v>0</v>
      </c>
    </row>
    <row r="196" ht="14.25" customHeight="1">
      <c r="A196" s="7"/>
      <c r="B196" s="7"/>
      <c r="C196" s="7"/>
      <c r="D196" s="7"/>
      <c r="E196" s="1">
        <f>IFERROR(VLOOKUP(B196,Namirnice!$B$4:$J$200,9,FALSE),0)</f>
        <v>0</v>
      </c>
      <c r="F196" s="1">
        <f t="shared" si="1"/>
        <v>0</v>
      </c>
    </row>
    <row r="197" ht="14.25" customHeight="1">
      <c r="A197" s="7"/>
      <c r="B197" s="7"/>
      <c r="C197" s="7"/>
      <c r="D197" s="7"/>
      <c r="E197" s="1">
        <f>IFERROR(VLOOKUP(B197,Namirnice!$B$4:$J$200,9,FALSE),0)</f>
        <v>0</v>
      </c>
      <c r="F197" s="1">
        <f t="shared" si="1"/>
        <v>0</v>
      </c>
    </row>
    <row r="198" ht="14.25" customHeight="1">
      <c r="A198" s="7"/>
      <c r="B198" s="7"/>
      <c r="C198" s="7"/>
      <c r="D198" s="7"/>
      <c r="E198" s="1">
        <f>IFERROR(VLOOKUP(B198,Namirnice!$B$4:$J$200,9,FALSE),0)</f>
        <v>0</v>
      </c>
      <c r="F198" s="1">
        <f t="shared" si="1"/>
        <v>0</v>
      </c>
    </row>
    <row r="199" ht="14.25" customHeight="1">
      <c r="A199" s="7"/>
      <c r="B199" s="7"/>
      <c r="C199" s="7"/>
      <c r="D199" s="7"/>
      <c r="E199" s="1">
        <f>IFERROR(VLOOKUP(B199,Namirnice!$B$4:$J$200,9,FALSE),0)</f>
        <v>0</v>
      </c>
      <c r="F199" s="1">
        <f t="shared" si="1"/>
        <v>0</v>
      </c>
    </row>
    <row r="200" ht="14.25" customHeight="1">
      <c r="A200" s="7"/>
      <c r="B200" s="7"/>
      <c r="C200" s="7"/>
      <c r="D200" s="7"/>
      <c r="E200" s="1">
        <f>IFERROR(VLOOKUP(B200,Namirnice!$B$4:$J$200,9,FALSE),0)</f>
        <v>0</v>
      </c>
      <c r="F200" s="1">
        <f t="shared" si="1"/>
        <v>0</v>
      </c>
    </row>
    <row r="201" ht="14.25" customHeight="1">
      <c r="A201" s="7"/>
      <c r="B201" s="7"/>
      <c r="C201" s="7"/>
      <c r="D201" s="7"/>
      <c r="E201" s="1">
        <f>IFERROR(VLOOKUP(B201,Namirnice!$B$4:$J$200,9,FALSE),0)</f>
        <v>0</v>
      </c>
      <c r="F201" s="1">
        <f t="shared" si="1"/>
        <v>0</v>
      </c>
    </row>
    <row r="202" ht="14.25" customHeight="1">
      <c r="A202" s="7"/>
      <c r="B202" s="7"/>
      <c r="C202" s="7"/>
      <c r="D202" s="7"/>
      <c r="E202" s="1">
        <f>IFERROR(VLOOKUP(B202,Namirnice!$B$4:$J$200,9,FALSE),0)</f>
        <v>0</v>
      </c>
      <c r="F202" s="1">
        <f t="shared" si="1"/>
        <v>0</v>
      </c>
    </row>
    <row r="203" ht="14.25" customHeight="1">
      <c r="A203" s="7"/>
      <c r="B203" s="7"/>
      <c r="C203" s="7"/>
      <c r="D203" s="7"/>
      <c r="E203" s="1">
        <f>IFERROR(VLOOKUP(B203,Namirnice!$B$4:$J$200,9,FALSE),0)</f>
        <v>0</v>
      </c>
      <c r="F203" s="1">
        <f t="shared" si="1"/>
        <v>0</v>
      </c>
    </row>
    <row r="204" ht="14.25" customHeight="1">
      <c r="A204" s="7"/>
      <c r="B204" s="7"/>
      <c r="C204" s="7"/>
      <c r="D204" s="7"/>
      <c r="E204" s="1">
        <f>IFERROR(VLOOKUP(B204,Namirnice!$B$4:$J$200,9,FALSE),0)</f>
        <v>0</v>
      </c>
      <c r="F204" s="1">
        <f t="shared" si="1"/>
        <v>0</v>
      </c>
    </row>
    <row r="205" ht="14.25" customHeight="1">
      <c r="A205" s="7"/>
      <c r="B205" s="7"/>
      <c r="C205" s="7"/>
      <c r="D205" s="7"/>
      <c r="E205" s="1">
        <f>IFERROR(VLOOKUP(B205,Namirnice!$B$4:$J$200,9,FALSE),0)</f>
        <v>0</v>
      </c>
      <c r="F205" s="1">
        <f t="shared" si="1"/>
        <v>0</v>
      </c>
    </row>
    <row r="206" ht="14.25" customHeight="1">
      <c r="A206" s="7"/>
      <c r="B206" s="7"/>
      <c r="C206" s="7"/>
      <c r="D206" s="7"/>
      <c r="E206" s="1">
        <f>IFERROR(VLOOKUP(B206,Namirnice!$B$4:$J$200,9,FALSE),0)</f>
        <v>0</v>
      </c>
      <c r="F206" s="1">
        <f t="shared" si="1"/>
        <v>0</v>
      </c>
    </row>
    <row r="207" ht="14.25" customHeight="1">
      <c r="A207" s="7"/>
      <c r="B207" s="7"/>
      <c r="C207" s="7"/>
      <c r="D207" s="7"/>
      <c r="E207" s="1">
        <f>IFERROR(VLOOKUP(B207,Namirnice!$B$4:$J$200,9,FALSE),0)</f>
        <v>0</v>
      </c>
      <c r="F207" s="1">
        <f t="shared" si="1"/>
        <v>0</v>
      </c>
    </row>
    <row r="208" ht="14.25" customHeight="1">
      <c r="A208" s="7"/>
      <c r="B208" s="7"/>
      <c r="C208" s="7"/>
      <c r="D208" s="7"/>
      <c r="E208" s="1">
        <f>IFERROR(VLOOKUP(B208,Namirnice!$B$4:$J$200,9,FALSE),0)</f>
        <v>0</v>
      </c>
      <c r="F208" s="1">
        <f t="shared" si="1"/>
        <v>0</v>
      </c>
    </row>
    <row r="209" ht="14.25" customHeight="1">
      <c r="A209" s="7"/>
      <c r="B209" s="7"/>
      <c r="C209" s="7"/>
      <c r="D209" s="7"/>
      <c r="E209" s="1">
        <f>IFERROR(VLOOKUP(B209,Namirnice!$B$4:$J$200,9,FALSE),0)</f>
        <v>0</v>
      </c>
      <c r="F209" s="1">
        <f t="shared" si="1"/>
        <v>0</v>
      </c>
    </row>
    <row r="210" ht="14.25" customHeight="1">
      <c r="A210" s="7"/>
      <c r="B210" s="7"/>
      <c r="C210" s="7"/>
      <c r="D210" s="7"/>
      <c r="E210" s="1">
        <f>IFERROR(VLOOKUP(B210,Namirnice!$B$4:$J$200,9,FALSE),0)</f>
        <v>0</v>
      </c>
      <c r="F210" s="1">
        <f t="shared" si="1"/>
        <v>0</v>
      </c>
    </row>
    <row r="211" ht="14.25" customHeight="1">
      <c r="A211" s="7"/>
      <c r="B211" s="7"/>
      <c r="C211" s="7"/>
      <c r="D211" s="7"/>
      <c r="E211" s="1">
        <f>IFERROR(VLOOKUP(B211,Namirnice!$B$4:$J$200,9,FALSE),0)</f>
        <v>0</v>
      </c>
      <c r="F211" s="1">
        <f t="shared" si="1"/>
        <v>0</v>
      </c>
    </row>
    <row r="212" ht="14.25" customHeight="1">
      <c r="A212" s="7"/>
      <c r="B212" s="7"/>
      <c r="C212" s="7"/>
      <c r="D212" s="7"/>
      <c r="E212" s="1">
        <f>IFERROR(VLOOKUP(B212,Namirnice!$B$4:$J$200,9,FALSE),0)</f>
        <v>0</v>
      </c>
      <c r="F212" s="1">
        <f t="shared" si="1"/>
        <v>0</v>
      </c>
    </row>
    <row r="213" ht="14.25" customHeight="1">
      <c r="A213" s="7"/>
      <c r="B213" s="7"/>
      <c r="C213" s="7"/>
      <c r="D213" s="7"/>
      <c r="E213" s="1">
        <f>IFERROR(VLOOKUP(B213,Namirnice!$B$4:$J$200,9,FALSE),0)</f>
        <v>0</v>
      </c>
      <c r="F213" s="1">
        <f t="shared" si="1"/>
        <v>0</v>
      </c>
    </row>
    <row r="214" ht="14.25" customHeight="1">
      <c r="A214" s="7"/>
      <c r="B214" s="7"/>
      <c r="C214" s="7"/>
      <c r="D214" s="7"/>
      <c r="E214" s="1">
        <f>IFERROR(VLOOKUP(B214,Namirnice!$B$4:$J$200,9,FALSE),0)</f>
        <v>0</v>
      </c>
      <c r="F214" s="1">
        <f t="shared" si="1"/>
        <v>0</v>
      </c>
    </row>
    <row r="215" ht="14.25" customHeight="1">
      <c r="A215" s="7"/>
      <c r="B215" s="7"/>
      <c r="C215" s="7"/>
      <c r="D215" s="7"/>
      <c r="E215" s="1">
        <f>IFERROR(VLOOKUP(B215,Namirnice!$B$4:$J$200,9,FALSE),0)</f>
        <v>0</v>
      </c>
      <c r="F215" s="1">
        <f t="shared" si="1"/>
        <v>0</v>
      </c>
    </row>
    <row r="216" ht="14.25" customHeight="1">
      <c r="A216" s="7"/>
      <c r="B216" s="7"/>
      <c r="C216" s="7"/>
      <c r="D216" s="7"/>
      <c r="E216" s="1">
        <f>IFERROR(VLOOKUP(B216,Namirnice!$B$4:$J$200,9,FALSE),0)</f>
        <v>0</v>
      </c>
      <c r="F216" s="1">
        <f t="shared" si="1"/>
        <v>0</v>
      </c>
    </row>
    <row r="217" ht="14.25" customHeight="1">
      <c r="A217" s="7"/>
      <c r="B217" s="7"/>
      <c r="C217" s="7"/>
      <c r="D217" s="7"/>
      <c r="E217" s="1">
        <f>IFERROR(VLOOKUP(B217,Namirnice!$B$4:$J$200,9,FALSE),0)</f>
        <v>0</v>
      </c>
      <c r="F217" s="1">
        <f t="shared" si="1"/>
        <v>0</v>
      </c>
    </row>
    <row r="218" ht="14.25" customHeight="1">
      <c r="A218" s="7"/>
      <c r="B218" s="7"/>
      <c r="C218" s="7"/>
      <c r="D218" s="7"/>
      <c r="E218" s="1">
        <f>IFERROR(VLOOKUP(B218,Namirnice!$B$4:$J$200,9,FALSE),0)</f>
        <v>0</v>
      </c>
      <c r="F218" s="1">
        <f t="shared" si="1"/>
        <v>0</v>
      </c>
    </row>
    <row r="219" ht="14.25" customHeight="1">
      <c r="A219" s="7"/>
      <c r="B219" s="7"/>
      <c r="C219" s="7"/>
      <c r="D219" s="7"/>
      <c r="E219" s="1">
        <f>IFERROR(VLOOKUP(B219,Namirnice!$B$4:$J$200,9,FALSE),0)</f>
        <v>0</v>
      </c>
      <c r="F219" s="1">
        <f t="shared" si="1"/>
        <v>0</v>
      </c>
    </row>
    <row r="220" ht="14.25" customHeight="1">
      <c r="A220" s="7"/>
      <c r="B220" s="7"/>
      <c r="C220" s="7"/>
      <c r="D220" s="7"/>
      <c r="E220" s="1">
        <f>IFERROR(VLOOKUP(B220,Namirnice!$B$4:$J$200,9,FALSE),0)</f>
        <v>0</v>
      </c>
      <c r="F220" s="1">
        <f t="shared" si="1"/>
        <v>0</v>
      </c>
    </row>
    <row r="221" ht="14.25" customHeight="1">
      <c r="A221" s="7"/>
      <c r="B221" s="7"/>
      <c r="C221" s="7"/>
      <c r="D221" s="7"/>
      <c r="E221" s="1">
        <f>IFERROR(VLOOKUP(B221,Namirnice!$B$4:$J$200,9,FALSE),0)</f>
        <v>0</v>
      </c>
      <c r="F221" s="1">
        <f t="shared" si="1"/>
        <v>0</v>
      </c>
    </row>
    <row r="222" ht="14.25" customHeight="1">
      <c r="A222" s="7"/>
      <c r="B222" s="7"/>
      <c r="C222" s="7"/>
      <c r="D222" s="7"/>
      <c r="E222" s="1">
        <f>IFERROR(VLOOKUP(B222,Namirnice!$B$4:$J$200,9,FALSE),0)</f>
        <v>0</v>
      </c>
      <c r="F222" s="1">
        <f t="shared" si="1"/>
        <v>0</v>
      </c>
    </row>
    <row r="223" ht="14.25" customHeight="1">
      <c r="A223" s="7"/>
      <c r="B223" s="7"/>
      <c r="C223" s="7"/>
      <c r="D223" s="7"/>
      <c r="E223" s="1">
        <f>IFERROR(VLOOKUP(B223,Namirnice!$B$4:$J$200,9,FALSE),0)</f>
        <v>0</v>
      </c>
      <c r="F223" s="1">
        <f t="shared" si="1"/>
        <v>0</v>
      </c>
    </row>
    <row r="224" ht="14.25" customHeight="1">
      <c r="A224" s="7"/>
      <c r="B224" s="7"/>
      <c r="C224" s="7"/>
      <c r="D224" s="7"/>
      <c r="E224" s="1">
        <f>IFERROR(VLOOKUP(B224,Namirnice!$B$4:$J$200,9,FALSE),0)</f>
        <v>0</v>
      </c>
      <c r="F224" s="1">
        <f t="shared" si="1"/>
        <v>0</v>
      </c>
    </row>
    <row r="225" ht="14.25" customHeight="1">
      <c r="A225" s="7"/>
      <c r="B225" s="7"/>
      <c r="C225" s="7"/>
      <c r="D225" s="7"/>
      <c r="E225" s="1">
        <f>IFERROR(VLOOKUP(B225,Namirnice!$B$4:$J$200,9,FALSE),0)</f>
        <v>0</v>
      </c>
      <c r="F225" s="1">
        <f t="shared" si="1"/>
        <v>0</v>
      </c>
    </row>
    <row r="226" ht="14.25" customHeight="1">
      <c r="A226" s="7"/>
      <c r="B226" s="7"/>
      <c r="C226" s="7"/>
      <c r="D226" s="7"/>
      <c r="E226" s="1">
        <f>IFERROR(VLOOKUP(B226,Namirnice!$B$4:$J$200,9,FALSE),0)</f>
        <v>0</v>
      </c>
      <c r="F226" s="1">
        <f t="shared" si="1"/>
        <v>0</v>
      </c>
    </row>
    <row r="227" ht="14.25" customHeight="1">
      <c r="A227" s="7"/>
      <c r="B227" s="7"/>
      <c r="C227" s="7"/>
      <c r="D227" s="7"/>
      <c r="E227" s="1">
        <f>IFERROR(VLOOKUP(B227,Namirnice!$B$4:$J$200,9,FALSE),0)</f>
        <v>0</v>
      </c>
      <c r="F227" s="1">
        <f t="shared" si="1"/>
        <v>0</v>
      </c>
    </row>
    <row r="228" ht="14.25" customHeight="1">
      <c r="A228" s="7"/>
      <c r="B228" s="7"/>
      <c r="C228" s="7"/>
      <c r="D228" s="7"/>
      <c r="E228" s="1">
        <f>IFERROR(VLOOKUP(B228,Namirnice!$B$4:$J$200,9,FALSE),0)</f>
        <v>0</v>
      </c>
      <c r="F228" s="1">
        <f t="shared" si="1"/>
        <v>0</v>
      </c>
    </row>
    <row r="229" ht="14.25" customHeight="1">
      <c r="A229" s="7"/>
      <c r="B229" s="7"/>
      <c r="C229" s="7"/>
      <c r="D229" s="7"/>
      <c r="E229" s="1">
        <f>IFERROR(VLOOKUP(B229,Namirnice!$B$4:$J$200,9,FALSE),0)</f>
        <v>0</v>
      </c>
      <c r="F229" s="1">
        <f t="shared" si="1"/>
        <v>0</v>
      </c>
    </row>
    <row r="230" ht="14.25" customHeight="1">
      <c r="A230" s="7"/>
      <c r="B230" s="7"/>
      <c r="C230" s="7"/>
      <c r="D230" s="7"/>
      <c r="E230" s="1">
        <f>IFERROR(VLOOKUP(B230,Namirnice!$B$4:$J$200,9,FALSE),0)</f>
        <v>0</v>
      </c>
      <c r="F230" s="1">
        <f t="shared" si="1"/>
        <v>0</v>
      </c>
    </row>
    <row r="231" ht="14.25" customHeight="1">
      <c r="A231" s="7"/>
      <c r="B231" s="7"/>
      <c r="C231" s="7"/>
      <c r="D231" s="7"/>
      <c r="E231" s="1">
        <f>IFERROR(VLOOKUP(B231,Namirnice!$B$4:$J$200,9,FALSE),0)</f>
        <v>0</v>
      </c>
      <c r="F231" s="1">
        <f t="shared" si="1"/>
        <v>0</v>
      </c>
    </row>
    <row r="232" ht="14.25" customHeight="1">
      <c r="A232" s="7"/>
      <c r="B232" s="7"/>
      <c r="C232" s="7"/>
      <c r="D232" s="7"/>
      <c r="E232" s="1">
        <f>IFERROR(VLOOKUP(B232,Namirnice!$B$4:$J$200,9,FALSE),0)</f>
        <v>0</v>
      </c>
      <c r="F232" s="1">
        <f t="shared" si="1"/>
        <v>0</v>
      </c>
    </row>
    <row r="233" ht="14.25" customHeight="1">
      <c r="A233" s="7"/>
      <c r="B233" s="7"/>
      <c r="C233" s="7"/>
      <c r="D233" s="7"/>
      <c r="E233" s="1">
        <f>IFERROR(VLOOKUP(B233,Namirnice!$B$4:$J$200,9,FALSE),0)</f>
        <v>0</v>
      </c>
      <c r="F233" s="1">
        <f t="shared" si="1"/>
        <v>0</v>
      </c>
    </row>
    <row r="234" ht="14.25" customHeight="1">
      <c r="A234" s="7"/>
      <c r="B234" s="7"/>
      <c r="C234" s="7"/>
      <c r="D234" s="7"/>
      <c r="E234" s="1">
        <f>IFERROR(VLOOKUP(B234,Namirnice!$B$4:$J$200,9,FALSE),0)</f>
        <v>0</v>
      </c>
      <c r="F234" s="1">
        <f t="shared" si="1"/>
        <v>0</v>
      </c>
    </row>
    <row r="235" ht="14.25" customHeight="1">
      <c r="A235" s="7"/>
      <c r="B235" s="7"/>
      <c r="C235" s="7"/>
      <c r="D235" s="7"/>
      <c r="E235" s="1">
        <f>IFERROR(VLOOKUP(B235,Namirnice!$B$4:$J$200,9,FALSE),0)</f>
        <v>0</v>
      </c>
      <c r="F235" s="1">
        <f t="shared" si="1"/>
        <v>0</v>
      </c>
    </row>
    <row r="236" ht="14.25" customHeight="1">
      <c r="A236" s="7"/>
      <c r="B236" s="7"/>
      <c r="C236" s="7"/>
      <c r="D236" s="7"/>
      <c r="E236" s="1">
        <f>IFERROR(VLOOKUP(B236,Namirnice!$B$4:$J$200,9,FALSE),0)</f>
        <v>0</v>
      </c>
      <c r="F236" s="1">
        <f t="shared" si="1"/>
        <v>0</v>
      </c>
    </row>
    <row r="237" ht="14.25" customHeight="1">
      <c r="A237" s="7"/>
      <c r="B237" s="7"/>
      <c r="C237" s="7"/>
      <c r="D237" s="7"/>
      <c r="E237" s="1">
        <f>IFERROR(VLOOKUP(B237,Namirnice!$B$4:$J$200,9,FALSE),0)</f>
        <v>0</v>
      </c>
      <c r="F237" s="1">
        <f t="shared" si="1"/>
        <v>0</v>
      </c>
    </row>
    <row r="238" ht="14.25" customHeight="1">
      <c r="A238" s="7"/>
      <c r="B238" s="7"/>
      <c r="C238" s="7"/>
      <c r="D238" s="7"/>
      <c r="E238" s="1">
        <f>IFERROR(VLOOKUP(B238,Namirnice!$B$4:$J$200,9,FALSE),0)</f>
        <v>0</v>
      </c>
      <c r="F238" s="1">
        <f t="shared" si="1"/>
        <v>0</v>
      </c>
    </row>
    <row r="239" ht="14.25" customHeight="1">
      <c r="A239" s="7"/>
      <c r="B239" s="7"/>
      <c r="C239" s="7"/>
      <c r="D239" s="7"/>
      <c r="E239" s="1">
        <f>IFERROR(VLOOKUP(B239,Namirnice!$B$4:$J$200,9,FALSE),0)</f>
        <v>0</v>
      </c>
      <c r="F239" s="1">
        <f t="shared" si="1"/>
        <v>0</v>
      </c>
    </row>
    <row r="240" ht="14.25" customHeight="1">
      <c r="A240" s="7"/>
      <c r="B240" s="7"/>
      <c r="C240" s="7"/>
      <c r="D240" s="7"/>
      <c r="E240" s="1">
        <f>IFERROR(VLOOKUP(B240,Namirnice!$B$4:$J$200,9,FALSE),0)</f>
        <v>0</v>
      </c>
      <c r="F240" s="1">
        <f t="shared" si="1"/>
        <v>0</v>
      </c>
    </row>
    <row r="241" ht="14.25" customHeight="1">
      <c r="A241" s="7"/>
      <c r="B241" s="7"/>
      <c r="C241" s="7"/>
      <c r="D241" s="7"/>
      <c r="E241" s="1">
        <f>IFERROR(VLOOKUP(B241,Namirnice!$B$4:$J$200,9,FALSE),0)</f>
        <v>0</v>
      </c>
      <c r="F241" s="1">
        <f t="shared" si="1"/>
        <v>0</v>
      </c>
    </row>
    <row r="242" ht="14.25" customHeight="1">
      <c r="A242" s="7"/>
      <c r="B242" s="7"/>
      <c r="C242" s="7"/>
      <c r="D242" s="7"/>
      <c r="E242" s="1">
        <f>IFERROR(VLOOKUP(B242,Namirnice!$B$4:$J$200,9,FALSE),0)</f>
        <v>0</v>
      </c>
      <c r="F242" s="1">
        <f t="shared" si="1"/>
        <v>0</v>
      </c>
    </row>
    <row r="243" ht="14.25" customHeight="1">
      <c r="A243" s="7"/>
      <c r="B243" s="7"/>
      <c r="C243" s="7"/>
      <c r="D243" s="7"/>
      <c r="E243" s="1">
        <f>IFERROR(VLOOKUP(B243,Namirnice!$B$4:$J$200,9,FALSE),0)</f>
        <v>0</v>
      </c>
      <c r="F243" s="1">
        <f t="shared" si="1"/>
        <v>0</v>
      </c>
    </row>
    <row r="244" ht="14.25" customHeight="1">
      <c r="A244" s="7"/>
      <c r="B244" s="7"/>
      <c r="C244" s="7"/>
      <c r="D244" s="7"/>
      <c r="E244" s="1">
        <f>IFERROR(VLOOKUP(B244,Namirnice!$B$4:$J$200,9,FALSE),0)</f>
        <v>0</v>
      </c>
      <c r="F244" s="1">
        <f t="shared" si="1"/>
        <v>0</v>
      </c>
    </row>
    <row r="245" ht="14.25" customHeight="1">
      <c r="A245" s="7"/>
      <c r="B245" s="7"/>
      <c r="C245" s="7"/>
      <c r="D245" s="7"/>
      <c r="E245" s="1">
        <f>IFERROR(VLOOKUP(B245,Namirnice!$B$4:$J$200,9,FALSE),0)</f>
        <v>0</v>
      </c>
      <c r="F245" s="1">
        <f t="shared" si="1"/>
        <v>0</v>
      </c>
    </row>
    <row r="246" ht="14.25" customHeight="1">
      <c r="A246" s="7"/>
      <c r="B246" s="7"/>
      <c r="C246" s="7"/>
      <c r="D246" s="7"/>
      <c r="E246" s="1">
        <f>IFERROR(VLOOKUP(B246,Namirnice!$B$4:$J$200,9,FALSE),0)</f>
        <v>0</v>
      </c>
      <c r="F246" s="1">
        <f t="shared" si="1"/>
        <v>0</v>
      </c>
    </row>
    <row r="247" ht="14.25" customHeight="1">
      <c r="A247" s="7"/>
      <c r="B247" s="7"/>
      <c r="C247" s="7"/>
      <c r="D247" s="7"/>
      <c r="E247" s="1">
        <f>IFERROR(VLOOKUP(B247,Namirnice!$B$4:$J$200,9,FALSE),0)</f>
        <v>0</v>
      </c>
      <c r="F247" s="1">
        <f t="shared" si="1"/>
        <v>0</v>
      </c>
    </row>
    <row r="248" ht="14.25" customHeight="1">
      <c r="A248" s="7"/>
      <c r="B248" s="7"/>
      <c r="C248" s="7"/>
      <c r="D248" s="7"/>
      <c r="E248" s="1">
        <f>IFERROR(VLOOKUP(B248,Namirnice!$B$4:$J$200,9,FALSE),0)</f>
        <v>0</v>
      </c>
      <c r="F248" s="1">
        <f t="shared" si="1"/>
        <v>0</v>
      </c>
    </row>
    <row r="249" ht="14.25" customHeight="1">
      <c r="A249" s="7"/>
      <c r="B249" s="7"/>
      <c r="C249" s="7"/>
      <c r="D249" s="7"/>
      <c r="E249" s="1">
        <f>IFERROR(VLOOKUP(B249,Namirnice!$B$4:$J$200,9,FALSE),0)</f>
        <v>0</v>
      </c>
      <c r="F249" s="1">
        <f t="shared" si="1"/>
        <v>0</v>
      </c>
    </row>
    <row r="250" ht="14.25" customHeight="1">
      <c r="A250" s="7"/>
      <c r="B250" s="7"/>
      <c r="C250" s="7"/>
      <c r="D250" s="7"/>
      <c r="E250" s="1">
        <f>IFERROR(VLOOKUP(B250,Namirnice!$B$4:$J$200,9,FALSE),0)</f>
        <v>0</v>
      </c>
      <c r="F250" s="1">
        <f t="shared" si="1"/>
        <v>0</v>
      </c>
    </row>
    <row r="251" ht="14.25" customHeight="1">
      <c r="A251" s="7"/>
      <c r="B251" s="7"/>
      <c r="C251" s="7"/>
      <c r="D251" s="7"/>
      <c r="E251" s="1">
        <f>IFERROR(VLOOKUP(B251,Namirnice!$B$4:$J$200,9,FALSE),0)</f>
        <v>0</v>
      </c>
      <c r="F251" s="1">
        <f t="shared" si="1"/>
        <v>0</v>
      </c>
    </row>
    <row r="252" ht="14.25" customHeight="1">
      <c r="A252" s="7"/>
      <c r="B252" s="7"/>
      <c r="C252" s="7"/>
      <c r="D252" s="7"/>
      <c r="E252" s="1">
        <f>IFERROR(VLOOKUP(B252,Namirnice!$B$4:$J$200,9,FALSE),0)</f>
        <v>0</v>
      </c>
      <c r="F252" s="1">
        <f t="shared" si="1"/>
        <v>0</v>
      </c>
    </row>
    <row r="253" ht="14.25" customHeight="1">
      <c r="A253" s="7"/>
      <c r="B253" s="7"/>
      <c r="C253" s="7"/>
      <c r="D253" s="7"/>
      <c r="E253" s="1">
        <f>IFERROR(VLOOKUP(B253,Namirnice!$B$4:$J$200,9,FALSE),0)</f>
        <v>0</v>
      </c>
      <c r="F253" s="1">
        <f t="shared" si="1"/>
        <v>0</v>
      </c>
    </row>
    <row r="254" ht="14.25" customHeight="1">
      <c r="A254" s="7"/>
      <c r="B254" s="7"/>
      <c r="C254" s="7"/>
      <c r="D254" s="7"/>
      <c r="E254" s="1">
        <f>IFERROR(VLOOKUP(B254,Namirnice!$B$4:$J$200,9,FALSE),0)</f>
        <v>0</v>
      </c>
      <c r="F254" s="1">
        <f t="shared" si="1"/>
        <v>0</v>
      </c>
    </row>
    <row r="255" ht="14.25" customHeight="1">
      <c r="A255" s="7"/>
      <c r="B255" s="7"/>
      <c r="C255" s="7"/>
      <c r="D255" s="7"/>
      <c r="E255" s="1">
        <f>IFERROR(VLOOKUP(B255,Namirnice!$B$4:$J$200,9,FALSE),0)</f>
        <v>0</v>
      </c>
      <c r="F255" s="1">
        <f t="shared" si="1"/>
        <v>0</v>
      </c>
    </row>
    <row r="256" ht="14.25" customHeight="1">
      <c r="A256" s="7"/>
      <c r="B256" s="7"/>
      <c r="C256" s="7"/>
      <c r="D256" s="7"/>
      <c r="E256" s="1">
        <f>IFERROR(VLOOKUP(B256,Namirnice!$B$4:$J$200,9,FALSE),0)</f>
        <v>0</v>
      </c>
      <c r="F256" s="1">
        <f t="shared" si="1"/>
        <v>0</v>
      </c>
    </row>
    <row r="257" ht="14.25" customHeight="1">
      <c r="A257" s="7"/>
      <c r="B257" s="7"/>
      <c r="C257" s="7"/>
      <c r="D257" s="7"/>
      <c r="E257" s="1">
        <f>IFERROR(VLOOKUP(B257,Namirnice!$B$4:$J$200,9,FALSE),0)</f>
        <v>0</v>
      </c>
      <c r="F257" s="1">
        <f t="shared" si="1"/>
        <v>0</v>
      </c>
    </row>
    <row r="258" ht="14.25" customHeight="1">
      <c r="A258" s="7"/>
      <c r="B258" s="7"/>
      <c r="C258" s="7"/>
      <c r="D258" s="7"/>
      <c r="E258" s="1">
        <f>IFERROR(VLOOKUP(B258,Namirnice!$B$4:$J$200,9,FALSE),0)</f>
        <v>0</v>
      </c>
      <c r="F258" s="1">
        <f t="shared" si="1"/>
        <v>0</v>
      </c>
    </row>
    <row r="259" ht="14.25" customHeight="1">
      <c r="A259" s="7"/>
      <c r="B259" s="7"/>
      <c r="C259" s="7"/>
      <c r="D259" s="7"/>
      <c r="E259" s="1">
        <f>IFERROR(VLOOKUP(B259,Namirnice!$B$4:$J$200,9,FALSE),0)</f>
        <v>0</v>
      </c>
      <c r="F259" s="1">
        <f t="shared" si="1"/>
        <v>0</v>
      </c>
    </row>
    <row r="260" ht="14.25" customHeight="1">
      <c r="A260" s="7"/>
      <c r="B260" s="7"/>
      <c r="C260" s="7"/>
      <c r="D260" s="7"/>
      <c r="E260" s="1">
        <f>IFERROR(VLOOKUP(B260,Namirnice!$B$4:$J$200,9,FALSE),0)</f>
        <v>0</v>
      </c>
      <c r="F260" s="1">
        <f t="shared" si="1"/>
        <v>0</v>
      </c>
    </row>
    <row r="261" ht="14.25" customHeight="1">
      <c r="A261" s="7"/>
      <c r="B261" s="7"/>
      <c r="C261" s="7"/>
      <c r="D261" s="7"/>
      <c r="E261" s="1">
        <f>IFERROR(VLOOKUP(B261,Namirnice!$B$4:$J$200,9,FALSE),0)</f>
        <v>0</v>
      </c>
      <c r="F261" s="1">
        <f t="shared" si="1"/>
        <v>0</v>
      </c>
    </row>
    <row r="262" ht="14.25" customHeight="1">
      <c r="A262" s="7"/>
      <c r="B262" s="7"/>
      <c r="C262" s="7"/>
      <c r="D262" s="7"/>
      <c r="E262" s="1">
        <f>IFERROR(VLOOKUP(B262,Namirnice!$B$4:$J$200,9,FALSE),0)</f>
        <v>0</v>
      </c>
      <c r="F262" s="1">
        <f t="shared" si="1"/>
        <v>0</v>
      </c>
    </row>
    <row r="263" ht="14.25" customHeight="1">
      <c r="A263" s="7"/>
      <c r="B263" s="7"/>
      <c r="C263" s="7"/>
      <c r="D263" s="7"/>
      <c r="E263" s="1">
        <f>IFERROR(VLOOKUP(B263,Namirnice!$B$4:$J$200,9,FALSE),0)</f>
        <v>0</v>
      </c>
      <c r="F263" s="1">
        <f t="shared" si="1"/>
        <v>0</v>
      </c>
    </row>
    <row r="264" ht="14.25" customHeight="1">
      <c r="A264" s="7"/>
      <c r="B264" s="7"/>
      <c r="C264" s="7"/>
      <c r="D264" s="7"/>
      <c r="E264" s="1">
        <f>IFERROR(VLOOKUP(B264,Namirnice!$B$4:$J$200,9,FALSE),0)</f>
        <v>0</v>
      </c>
      <c r="F264" s="1">
        <f t="shared" si="1"/>
        <v>0</v>
      </c>
    </row>
    <row r="265" ht="14.25" customHeight="1">
      <c r="A265" s="7"/>
      <c r="B265" s="7"/>
      <c r="C265" s="7"/>
      <c r="D265" s="7"/>
      <c r="E265" s="1">
        <f>IFERROR(VLOOKUP(B265,Namirnice!$B$4:$J$200,9,FALSE),0)</f>
        <v>0</v>
      </c>
      <c r="F265" s="1">
        <f t="shared" si="1"/>
        <v>0</v>
      </c>
    </row>
    <row r="266" ht="14.25" customHeight="1">
      <c r="A266" s="7"/>
      <c r="B266" s="7"/>
      <c r="C266" s="7"/>
      <c r="D266" s="7"/>
      <c r="E266" s="1">
        <f>IFERROR(VLOOKUP(B266,Namirnice!$B$4:$J$200,9,FALSE),0)</f>
        <v>0</v>
      </c>
      <c r="F266" s="1">
        <f t="shared" si="1"/>
        <v>0</v>
      </c>
    </row>
    <row r="267" ht="14.25" customHeight="1">
      <c r="A267" s="7"/>
      <c r="B267" s="7"/>
      <c r="C267" s="7"/>
      <c r="D267" s="7"/>
      <c r="E267" s="1">
        <f>IFERROR(VLOOKUP(B267,Namirnice!$B$4:$J$200,9,FALSE),0)</f>
        <v>0</v>
      </c>
      <c r="F267" s="1">
        <f t="shared" si="1"/>
        <v>0</v>
      </c>
    </row>
    <row r="268" ht="14.25" customHeight="1">
      <c r="A268" s="7"/>
      <c r="B268" s="7"/>
      <c r="C268" s="7"/>
      <c r="D268" s="7"/>
      <c r="E268" s="1">
        <f>IFERROR(VLOOKUP(B268,Namirnice!$B$4:$J$200,9,FALSE),0)</f>
        <v>0</v>
      </c>
      <c r="F268" s="1">
        <f t="shared" si="1"/>
        <v>0</v>
      </c>
    </row>
    <row r="269" ht="14.25" customHeight="1">
      <c r="A269" s="7"/>
      <c r="B269" s="7"/>
      <c r="C269" s="7"/>
      <c r="D269" s="7"/>
      <c r="E269" s="1">
        <f>IFERROR(VLOOKUP(B269,Namirnice!$B$4:$J$200,9,FALSE),0)</f>
        <v>0</v>
      </c>
      <c r="F269" s="1">
        <f t="shared" si="1"/>
        <v>0</v>
      </c>
    </row>
    <row r="270" ht="14.25" customHeight="1">
      <c r="A270" s="7"/>
      <c r="B270" s="7"/>
      <c r="C270" s="7"/>
      <c r="D270" s="7"/>
      <c r="E270" s="1">
        <f>IFERROR(VLOOKUP(B270,Namirnice!$B$4:$J$200,9,FALSE),0)</f>
        <v>0</v>
      </c>
      <c r="F270" s="1">
        <f t="shared" si="1"/>
        <v>0</v>
      </c>
    </row>
    <row r="271" ht="14.25" customHeight="1">
      <c r="A271" s="7"/>
      <c r="B271" s="7"/>
      <c r="C271" s="7"/>
      <c r="D271" s="7"/>
      <c r="E271" s="1">
        <f>IFERROR(VLOOKUP(B271,Namirnice!$B$4:$J$200,9,FALSE),0)</f>
        <v>0</v>
      </c>
      <c r="F271" s="1">
        <f t="shared" si="1"/>
        <v>0</v>
      </c>
    </row>
    <row r="272" ht="14.25" customHeight="1">
      <c r="A272" s="7"/>
      <c r="B272" s="7"/>
      <c r="C272" s="7"/>
      <c r="D272" s="7"/>
      <c r="E272" s="1">
        <f>IFERROR(VLOOKUP(B272,Namirnice!$B$4:$J$200,9,FALSE),0)</f>
        <v>0</v>
      </c>
      <c r="F272" s="1">
        <f t="shared" si="1"/>
        <v>0</v>
      </c>
    </row>
    <row r="273" ht="14.25" customHeight="1">
      <c r="A273" s="7"/>
      <c r="B273" s="7"/>
      <c r="C273" s="7"/>
      <c r="D273" s="7"/>
      <c r="E273" s="1">
        <f>IFERROR(VLOOKUP(B273,Namirnice!$B$4:$J$200,9,FALSE),0)</f>
        <v>0</v>
      </c>
      <c r="F273" s="1">
        <f t="shared" si="1"/>
        <v>0</v>
      </c>
    </row>
    <row r="274" ht="14.25" customHeight="1">
      <c r="A274" s="7"/>
      <c r="B274" s="7"/>
      <c r="C274" s="7"/>
      <c r="D274" s="7"/>
      <c r="E274" s="1">
        <f>IFERROR(VLOOKUP(B274,Namirnice!$B$4:$J$200,9,FALSE),0)</f>
        <v>0</v>
      </c>
      <c r="F274" s="1">
        <f t="shared" si="1"/>
        <v>0</v>
      </c>
    </row>
    <row r="275" ht="14.25" customHeight="1">
      <c r="A275" s="7"/>
      <c r="B275" s="7"/>
      <c r="C275" s="7"/>
      <c r="D275" s="7"/>
      <c r="E275" s="1">
        <f>IFERROR(VLOOKUP(B275,Namirnice!$B$4:$J$200,9,FALSE),0)</f>
        <v>0</v>
      </c>
      <c r="F275" s="1">
        <f t="shared" si="1"/>
        <v>0</v>
      </c>
    </row>
    <row r="276" ht="14.25" customHeight="1">
      <c r="A276" s="7"/>
      <c r="B276" s="7"/>
      <c r="C276" s="7"/>
      <c r="D276" s="7"/>
      <c r="E276" s="1">
        <f>IFERROR(VLOOKUP(B276,Namirnice!$B$4:$J$200,9,FALSE),0)</f>
        <v>0</v>
      </c>
      <c r="F276" s="1">
        <f t="shared" si="1"/>
        <v>0</v>
      </c>
    </row>
    <row r="277" ht="14.25" customHeight="1">
      <c r="A277" s="7"/>
      <c r="B277" s="7"/>
      <c r="C277" s="7"/>
      <c r="D277" s="7"/>
      <c r="E277" s="1">
        <f>IFERROR(VLOOKUP(B277,Namirnice!$B$4:$J$200,9,FALSE),0)</f>
        <v>0</v>
      </c>
      <c r="F277" s="1">
        <f t="shared" si="1"/>
        <v>0</v>
      </c>
    </row>
    <row r="278" ht="14.25" customHeight="1">
      <c r="A278" s="7"/>
      <c r="B278" s="7"/>
      <c r="C278" s="7"/>
      <c r="D278" s="7"/>
      <c r="E278" s="1">
        <f>IFERROR(VLOOKUP(B278,Namirnice!$B$4:$J$200,9,FALSE),0)</f>
        <v>0</v>
      </c>
      <c r="F278" s="1">
        <f t="shared" si="1"/>
        <v>0</v>
      </c>
    </row>
    <row r="279" ht="14.25" customHeight="1">
      <c r="A279" s="7"/>
      <c r="B279" s="7"/>
      <c r="C279" s="7"/>
      <c r="D279" s="7"/>
      <c r="E279" s="1">
        <f>IFERROR(VLOOKUP(B279,Namirnice!$B$4:$J$200,9,FALSE),0)</f>
        <v>0</v>
      </c>
      <c r="F279" s="1">
        <f t="shared" si="1"/>
        <v>0</v>
      </c>
    </row>
    <row r="280" ht="14.25" customHeight="1">
      <c r="A280" s="7"/>
      <c r="B280" s="7"/>
      <c r="C280" s="7"/>
      <c r="D280" s="7"/>
      <c r="E280" s="1">
        <f>IFERROR(VLOOKUP(B280,Namirnice!$B$4:$J$200,9,FALSE),0)</f>
        <v>0</v>
      </c>
      <c r="F280" s="1">
        <f t="shared" si="1"/>
        <v>0</v>
      </c>
    </row>
    <row r="281" ht="14.25" customHeight="1">
      <c r="A281" s="7"/>
      <c r="B281" s="7"/>
      <c r="C281" s="7"/>
      <c r="D281" s="7"/>
      <c r="E281" s="1">
        <f>IFERROR(VLOOKUP(B281,Namirnice!$B$4:$J$200,9,FALSE),0)</f>
        <v>0</v>
      </c>
      <c r="F281" s="1">
        <f t="shared" si="1"/>
        <v>0</v>
      </c>
    </row>
    <row r="282" ht="14.25" customHeight="1">
      <c r="A282" s="7"/>
      <c r="B282" s="7"/>
      <c r="C282" s="7"/>
      <c r="D282" s="7"/>
      <c r="E282" s="1">
        <f>IFERROR(VLOOKUP(B282,Namirnice!$B$4:$J$200,9,FALSE),0)</f>
        <v>0</v>
      </c>
      <c r="F282" s="1">
        <f t="shared" si="1"/>
        <v>0</v>
      </c>
    </row>
    <row r="283" ht="14.25" customHeight="1">
      <c r="A283" s="7"/>
      <c r="B283" s="7"/>
      <c r="C283" s="7"/>
      <c r="D283" s="7"/>
      <c r="E283" s="1">
        <f>IFERROR(VLOOKUP(B283,Namirnice!$B$4:$J$200,9,FALSE),0)</f>
        <v>0</v>
      </c>
      <c r="F283" s="1">
        <f t="shared" si="1"/>
        <v>0</v>
      </c>
    </row>
    <row r="284" ht="14.25" customHeight="1">
      <c r="A284" s="7"/>
      <c r="B284" s="7"/>
      <c r="C284" s="7"/>
      <c r="D284" s="7"/>
      <c r="E284" s="1">
        <f>IFERROR(VLOOKUP(B284,Namirnice!$B$4:$J$200,9,FALSE),0)</f>
        <v>0</v>
      </c>
      <c r="F284" s="1">
        <f t="shared" si="1"/>
        <v>0</v>
      </c>
    </row>
    <row r="285" ht="14.25" customHeight="1">
      <c r="A285" s="7"/>
      <c r="B285" s="7"/>
      <c r="C285" s="7"/>
      <c r="D285" s="7"/>
      <c r="E285" s="1">
        <f>IFERROR(VLOOKUP(B285,Namirnice!$B$4:$J$200,9,FALSE),0)</f>
        <v>0</v>
      </c>
      <c r="F285" s="1">
        <f t="shared" si="1"/>
        <v>0</v>
      </c>
    </row>
    <row r="286" ht="14.25" customHeight="1">
      <c r="A286" s="7"/>
      <c r="B286" s="7"/>
      <c r="C286" s="7"/>
      <c r="D286" s="7"/>
      <c r="E286" s="1">
        <f>IFERROR(VLOOKUP(B286,Namirnice!$B$4:$J$200,9,FALSE),0)</f>
        <v>0</v>
      </c>
      <c r="F286" s="1">
        <f t="shared" si="1"/>
        <v>0</v>
      </c>
    </row>
    <row r="287" ht="14.25" customHeight="1">
      <c r="A287" s="7"/>
      <c r="B287" s="7"/>
      <c r="C287" s="7"/>
      <c r="D287" s="7"/>
      <c r="E287" s="1">
        <f>IFERROR(VLOOKUP(B287,Namirnice!$B$4:$J$200,9,FALSE),0)</f>
        <v>0</v>
      </c>
      <c r="F287" s="1">
        <f t="shared" si="1"/>
        <v>0</v>
      </c>
    </row>
    <row r="288" ht="14.25" customHeight="1">
      <c r="A288" s="7"/>
      <c r="B288" s="7"/>
      <c r="C288" s="7"/>
      <c r="D288" s="7"/>
      <c r="E288" s="1">
        <f>IFERROR(VLOOKUP(B288,Namirnice!$B$4:$J$200,9,FALSE),0)</f>
        <v>0</v>
      </c>
      <c r="F288" s="1">
        <f t="shared" si="1"/>
        <v>0</v>
      </c>
    </row>
    <row r="289" ht="14.25" customHeight="1">
      <c r="A289" s="7"/>
      <c r="B289" s="7"/>
      <c r="C289" s="7"/>
      <c r="D289" s="7"/>
      <c r="E289" s="1">
        <f>IFERROR(VLOOKUP(B289,Namirnice!$B$4:$J$200,9,FALSE),0)</f>
        <v>0</v>
      </c>
      <c r="F289" s="1">
        <f t="shared" si="1"/>
        <v>0</v>
      </c>
    </row>
    <row r="290" ht="14.25" customHeight="1">
      <c r="A290" s="7"/>
      <c r="B290" s="7"/>
      <c r="C290" s="7"/>
      <c r="D290" s="7"/>
      <c r="E290" s="1">
        <f>IFERROR(VLOOKUP(B290,Namirnice!$B$4:$J$200,9,FALSE),0)</f>
        <v>0</v>
      </c>
      <c r="F290" s="1">
        <f t="shared" si="1"/>
        <v>0</v>
      </c>
    </row>
    <row r="291" ht="14.25" customHeight="1">
      <c r="A291" s="7"/>
      <c r="B291" s="7"/>
      <c r="C291" s="7"/>
      <c r="D291" s="7"/>
      <c r="E291" s="1">
        <f>IFERROR(VLOOKUP(B291,Namirnice!$B$4:$J$200,9,FALSE),0)</f>
        <v>0</v>
      </c>
      <c r="F291" s="1">
        <f t="shared" si="1"/>
        <v>0</v>
      </c>
    </row>
    <row r="292" ht="14.25" customHeight="1">
      <c r="A292" s="7"/>
      <c r="B292" s="7"/>
      <c r="C292" s="7"/>
      <c r="D292" s="7"/>
      <c r="E292" s="1">
        <f>IFERROR(VLOOKUP(B292,Namirnice!$B$4:$J$200,9,FALSE),0)</f>
        <v>0</v>
      </c>
      <c r="F292" s="1">
        <f t="shared" si="1"/>
        <v>0</v>
      </c>
    </row>
    <row r="293" ht="14.25" customHeight="1">
      <c r="A293" s="7"/>
      <c r="B293" s="7"/>
      <c r="C293" s="7"/>
      <c r="D293" s="7"/>
      <c r="E293" s="1">
        <f>IFERROR(VLOOKUP(B293,Namirnice!$B$4:$J$200,9,FALSE),0)</f>
        <v>0</v>
      </c>
      <c r="F293" s="1">
        <f t="shared" si="1"/>
        <v>0</v>
      </c>
    </row>
    <row r="294" ht="14.25" customHeight="1">
      <c r="A294" s="7"/>
      <c r="B294" s="7"/>
      <c r="C294" s="7"/>
      <c r="D294" s="7"/>
      <c r="E294" s="1">
        <f>IFERROR(VLOOKUP(B294,Namirnice!$B$4:$J$200,9,FALSE),0)</f>
        <v>0</v>
      </c>
      <c r="F294" s="1">
        <f t="shared" si="1"/>
        <v>0</v>
      </c>
    </row>
    <row r="295" ht="14.25" customHeight="1">
      <c r="A295" s="7"/>
      <c r="B295" s="7"/>
      <c r="C295" s="7"/>
      <c r="D295" s="7"/>
      <c r="E295" s="1">
        <f>IFERROR(VLOOKUP(B295,Namirnice!$B$4:$J$200,9,FALSE),0)</f>
        <v>0</v>
      </c>
      <c r="F295" s="1">
        <f t="shared" si="1"/>
        <v>0</v>
      </c>
    </row>
    <row r="296" ht="14.25" customHeight="1">
      <c r="A296" s="7"/>
      <c r="B296" s="7"/>
      <c r="C296" s="7"/>
      <c r="D296" s="7"/>
      <c r="E296" s="1">
        <f>IFERROR(VLOOKUP(B296,Namirnice!$B$4:$J$200,9,FALSE),0)</f>
        <v>0</v>
      </c>
      <c r="F296" s="1">
        <f t="shared" si="1"/>
        <v>0</v>
      </c>
    </row>
    <row r="297" ht="14.25" customHeight="1">
      <c r="A297" s="7"/>
      <c r="B297" s="7"/>
      <c r="C297" s="7"/>
      <c r="D297" s="7"/>
      <c r="E297" s="1">
        <f>IFERROR(VLOOKUP(B297,Namirnice!$B$4:$J$200,9,FALSE),0)</f>
        <v>0</v>
      </c>
      <c r="F297" s="1">
        <f t="shared" si="1"/>
        <v>0</v>
      </c>
    </row>
    <row r="298" ht="14.25" customHeight="1">
      <c r="A298" s="7"/>
      <c r="B298" s="7"/>
      <c r="C298" s="7"/>
      <c r="D298" s="7"/>
      <c r="E298" s="1">
        <f>IFERROR(VLOOKUP(B298,Namirnice!$B$4:$J$200,9,FALSE),0)</f>
        <v>0</v>
      </c>
      <c r="F298" s="1">
        <f t="shared" si="1"/>
        <v>0</v>
      </c>
    </row>
    <row r="299" ht="14.25" customHeight="1">
      <c r="A299" s="7"/>
      <c r="B299" s="7"/>
      <c r="C299" s="7"/>
      <c r="D299" s="7"/>
      <c r="E299" s="1">
        <f>IFERROR(VLOOKUP(B299,Namirnice!$B$4:$J$200,9,FALSE),0)</f>
        <v>0</v>
      </c>
      <c r="F299" s="1">
        <f t="shared" si="1"/>
        <v>0</v>
      </c>
    </row>
    <row r="300" ht="14.25" customHeight="1">
      <c r="A300" s="7"/>
      <c r="B300" s="7"/>
      <c r="C300" s="7"/>
      <c r="D300" s="7"/>
      <c r="E300" s="1">
        <f>IFERROR(VLOOKUP(B300,Namirnice!$B$4:$J$200,9,FALSE),0)</f>
        <v>0</v>
      </c>
      <c r="F300" s="1">
        <f t="shared" si="1"/>
        <v>0</v>
      </c>
    </row>
    <row r="301" ht="14.25" customHeight="1">
      <c r="A301" s="7"/>
      <c r="B301" s="7"/>
      <c r="C301" s="7"/>
      <c r="D301" s="7"/>
      <c r="E301" s="1">
        <f>IFERROR(VLOOKUP(B301,Namirnice!$B$4:$J$200,9,FALSE),0)</f>
        <v>0</v>
      </c>
      <c r="F301" s="1">
        <f t="shared" si="1"/>
        <v>0</v>
      </c>
    </row>
    <row r="302" ht="14.25" customHeight="1">
      <c r="A302" s="7"/>
      <c r="B302" s="7"/>
      <c r="C302" s="7"/>
      <c r="D302" s="7"/>
      <c r="E302" s="1">
        <f>IFERROR(VLOOKUP(B302,Namirnice!$B$4:$J$200,9,FALSE),0)</f>
        <v>0</v>
      </c>
      <c r="F302" s="1">
        <f t="shared" si="1"/>
        <v>0</v>
      </c>
    </row>
    <row r="303" ht="14.25" customHeight="1">
      <c r="A303" s="7"/>
      <c r="B303" s="7"/>
      <c r="C303" s="7"/>
      <c r="D303" s="7"/>
      <c r="E303" s="1">
        <f>IFERROR(VLOOKUP(B303,Namirnice!$B$4:$J$200,9,FALSE),0)</f>
        <v>0</v>
      </c>
      <c r="F303" s="1">
        <f t="shared" si="1"/>
        <v>0</v>
      </c>
    </row>
    <row r="304" ht="14.25" customHeight="1">
      <c r="A304" s="7"/>
      <c r="B304" s="7"/>
      <c r="C304" s="7"/>
      <c r="D304" s="7"/>
      <c r="E304" s="1">
        <f>IFERROR(VLOOKUP(B304,Namirnice!$B$4:$J$200,9,FALSE),0)</f>
        <v>0</v>
      </c>
      <c r="F304" s="1">
        <f t="shared" si="1"/>
        <v>0</v>
      </c>
    </row>
    <row r="305" ht="14.25" customHeight="1">
      <c r="A305" s="7"/>
      <c r="B305" s="7"/>
      <c r="C305" s="7"/>
      <c r="D305" s="7"/>
      <c r="E305" s="1">
        <f>IFERROR(VLOOKUP(B305,Namirnice!$B$4:$J$200,9,FALSE),0)</f>
        <v>0</v>
      </c>
      <c r="F305" s="1">
        <f t="shared" si="1"/>
        <v>0</v>
      </c>
    </row>
    <row r="306" ht="14.25" customHeight="1">
      <c r="A306" s="7"/>
      <c r="B306" s="7"/>
      <c r="C306" s="7"/>
      <c r="D306" s="7"/>
      <c r="E306" s="1">
        <f>IFERROR(VLOOKUP(B306,Namirnice!$B$4:$J$200,9,FALSE),0)</f>
        <v>0</v>
      </c>
      <c r="F306" s="1">
        <f t="shared" si="1"/>
        <v>0</v>
      </c>
    </row>
    <row r="307" ht="14.25" customHeight="1">
      <c r="A307" s="7"/>
      <c r="B307" s="7"/>
      <c r="C307" s="7"/>
      <c r="D307" s="7"/>
      <c r="E307" s="1">
        <f>IFERROR(VLOOKUP(B307,Namirnice!$B$4:$J$200,9,FALSE),0)</f>
        <v>0</v>
      </c>
      <c r="F307" s="1">
        <f t="shared" si="1"/>
        <v>0</v>
      </c>
    </row>
    <row r="308" ht="14.25" customHeight="1">
      <c r="A308" s="7"/>
      <c r="B308" s="7"/>
      <c r="C308" s="7"/>
      <c r="D308" s="7"/>
      <c r="E308" s="1">
        <f>IFERROR(VLOOKUP(B308,Namirnice!$B$4:$J$200,9,FALSE),0)</f>
        <v>0</v>
      </c>
      <c r="F308" s="1">
        <f t="shared" si="1"/>
        <v>0</v>
      </c>
    </row>
    <row r="309" ht="14.25" customHeight="1">
      <c r="A309" s="7"/>
      <c r="B309" s="7"/>
      <c r="C309" s="7"/>
      <c r="D309" s="7"/>
      <c r="E309" s="1">
        <f>IFERROR(VLOOKUP(B309,Namirnice!$B$4:$J$200,9,FALSE),0)</f>
        <v>0</v>
      </c>
      <c r="F309" s="1">
        <f t="shared" si="1"/>
        <v>0</v>
      </c>
    </row>
    <row r="310" ht="14.25" customHeight="1">
      <c r="A310" s="7"/>
      <c r="B310" s="7"/>
      <c r="C310" s="7"/>
      <c r="D310" s="7"/>
      <c r="E310" s="1">
        <f>IFERROR(VLOOKUP(B310,Namirnice!$B$4:$J$200,9,FALSE),0)</f>
        <v>0</v>
      </c>
      <c r="F310" s="1">
        <f t="shared" si="1"/>
        <v>0</v>
      </c>
    </row>
    <row r="311" ht="14.25" customHeight="1">
      <c r="A311" s="7"/>
      <c r="B311" s="7"/>
      <c r="C311" s="7"/>
      <c r="D311" s="7"/>
      <c r="E311" s="1">
        <f>IFERROR(VLOOKUP(B311,Namirnice!$B$4:$J$200,9,FALSE),0)</f>
        <v>0</v>
      </c>
      <c r="F311" s="1">
        <f t="shared" si="1"/>
        <v>0</v>
      </c>
    </row>
    <row r="312" ht="14.25" customHeight="1">
      <c r="A312" s="7"/>
      <c r="B312" s="7"/>
      <c r="C312" s="7"/>
      <c r="D312" s="7"/>
      <c r="E312" s="1">
        <f>IFERROR(VLOOKUP(B312,Namirnice!$B$4:$J$200,9,FALSE),0)</f>
        <v>0</v>
      </c>
      <c r="F312" s="1">
        <f t="shared" si="1"/>
        <v>0</v>
      </c>
    </row>
    <row r="313" ht="14.25" customHeight="1">
      <c r="A313" s="7"/>
      <c r="B313" s="7"/>
      <c r="C313" s="7"/>
      <c r="D313" s="7"/>
      <c r="E313" s="1">
        <f>IFERROR(VLOOKUP(B313,Namirnice!$B$4:$J$200,9,FALSE),0)</f>
        <v>0</v>
      </c>
      <c r="F313" s="1">
        <f t="shared" si="1"/>
        <v>0</v>
      </c>
    </row>
    <row r="314" ht="14.25" customHeight="1">
      <c r="A314" s="7"/>
      <c r="B314" s="7"/>
      <c r="C314" s="7"/>
      <c r="D314" s="7"/>
      <c r="E314" s="1">
        <f>IFERROR(VLOOKUP(B314,Namirnice!$B$4:$J$200,9,FALSE),0)</f>
        <v>0</v>
      </c>
      <c r="F314" s="1">
        <f t="shared" si="1"/>
        <v>0</v>
      </c>
    </row>
    <row r="315" ht="14.25" customHeight="1">
      <c r="A315" s="7"/>
      <c r="B315" s="7"/>
      <c r="C315" s="7"/>
      <c r="D315" s="7"/>
      <c r="E315" s="1">
        <f>IFERROR(VLOOKUP(B315,Namirnice!$B$4:$J$200,9,FALSE),0)</f>
        <v>0</v>
      </c>
      <c r="F315" s="1">
        <f t="shared" si="1"/>
        <v>0</v>
      </c>
    </row>
    <row r="316" ht="14.25" customHeight="1">
      <c r="A316" s="7"/>
      <c r="B316" s="7"/>
      <c r="C316" s="7"/>
      <c r="D316" s="7"/>
      <c r="E316" s="1">
        <f>IFERROR(VLOOKUP(B316,Namirnice!$B$4:$J$200,9,FALSE),0)</f>
        <v>0</v>
      </c>
      <c r="F316" s="1">
        <f t="shared" si="1"/>
        <v>0</v>
      </c>
    </row>
    <row r="317" ht="14.25" customHeight="1">
      <c r="A317" s="7"/>
      <c r="B317" s="7"/>
      <c r="C317" s="7"/>
      <c r="D317" s="7"/>
      <c r="E317" s="1">
        <f>IFERROR(VLOOKUP(B317,Namirnice!$B$4:$J$200,9,FALSE),0)</f>
        <v>0</v>
      </c>
      <c r="F317" s="1">
        <f t="shared" si="1"/>
        <v>0</v>
      </c>
    </row>
    <row r="318" ht="14.25" customHeight="1">
      <c r="A318" s="7"/>
      <c r="B318" s="7"/>
      <c r="C318" s="7"/>
      <c r="D318" s="7"/>
      <c r="E318" s="1">
        <f>IFERROR(VLOOKUP(B318,Namirnice!$B$4:$J$200,9,FALSE),0)</f>
        <v>0</v>
      </c>
      <c r="F318" s="1">
        <f t="shared" si="1"/>
        <v>0</v>
      </c>
    </row>
    <row r="319" ht="14.25" customHeight="1">
      <c r="A319" s="7"/>
      <c r="B319" s="7"/>
      <c r="C319" s="7"/>
      <c r="D319" s="7"/>
      <c r="E319" s="1">
        <f>IFERROR(VLOOKUP(B319,Namirnice!$B$4:$J$200,9,FALSE),0)</f>
        <v>0</v>
      </c>
      <c r="F319" s="1">
        <f t="shared" si="1"/>
        <v>0</v>
      </c>
    </row>
    <row r="320" ht="14.25" customHeight="1">
      <c r="A320" s="7"/>
      <c r="B320" s="7"/>
      <c r="C320" s="7"/>
      <c r="D320" s="7"/>
      <c r="E320" s="1">
        <f>IFERROR(VLOOKUP(B320,Namirnice!$B$4:$J$200,9,FALSE),0)</f>
        <v>0</v>
      </c>
      <c r="F320" s="1">
        <f t="shared" si="1"/>
        <v>0</v>
      </c>
    </row>
    <row r="321" ht="14.25" customHeight="1">
      <c r="A321" s="7"/>
      <c r="B321" s="7"/>
      <c r="C321" s="7"/>
      <c r="D321" s="7"/>
      <c r="E321" s="1">
        <f>IFERROR(VLOOKUP(B321,Namirnice!$B$4:$J$200,9,FALSE),0)</f>
        <v>0</v>
      </c>
      <c r="F321" s="1">
        <f t="shared" si="1"/>
        <v>0</v>
      </c>
    </row>
    <row r="322" ht="14.25" customHeight="1">
      <c r="A322" s="7"/>
      <c r="B322" s="7"/>
      <c r="C322" s="7"/>
      <c r="D322" s="7"/>
      <c r="E322" s="1">
        <f>IFERROR(VLOOKUP(B322,Namirnice!$B$4:$J$200,9,FALSE),0)</f>
        <v>0</v>
      </c>
      <c r="F322" s="1">
        <f t="shared" si="1"/>
        <v>0</v>
      </c>
    </row>
    <row r="323" ht="14.25" customHeight="1">
      <c r="A323" s="7"/>
      <c r="B323" s="7"/>
      <c r="C323" s="7"/>
      <c r="D323" s="7"/>
      <c r="E323" s="1">
        <f>IFERROR(VLOOKUP(B323,Namirnice!$B$4:$J$200,9,FALSE),0)</f>
        <v>0</v>
      </c>
      <c r="F323" s="1">
        <f t="shared" si="1"/>
        <v>0</v>
      </c>
    </row>
    <row r="324" ht="14.25" customHeight="1">
      <c r="A324" s="7"/>
      <c r="B324" s="7"/>
      <c r="C324" s="7"/>
      <c r="D324" s="7"/>
      <c r="E324" s="1">
        <f>IFERROR(VLOOKUP(B324,Namirnice!$B$4:$J$200,9,FALSE),0)</f>
        <v>0</v>
      </c>
      <c r="F324" s="1">
        <f t="shared" si="1"/>
        <v>0</v>
      </c>
    </row>
    <row r="325" ht="14.25" customHeight="1">
      <c r="A325" s="7"/>
      <c r="B325" s="7"/>
      <c r="C325" s="7"/>
      <c r="D325" s="7"/>
      <c r="E325" s="1">
        <f>IFERROR(VLOOKUP(B325,Namirnice!$B$4:$J$200,9,FALSE),0)</f>
        <v>0</v>
      </c>
      <c r="F325" s="1">
        <f t="shared" si="1"/>
        <v>0</v>
      </c>
    </row>
    <row r="326" ht="14.25" customHeight="1">
      <c r="A326" s="7"/>
      <c r="B326" s="7"/>
      <c r="C326" s="7"/>
      <c r="D326" s="7"/>
      <c r="E326" s="1">
        <f>IFERROR(VLOOKUP(B326,Namirnice!$B$4:$J$200,9,FALSE),0)</f>
        <v>0</v>
      </c>
      <c r="F326" s="1">
        <f t="shared" si="1"/>
        <v>0</v>
      </c>
    </row>
    <row r="327" ht="14.25" customHeight="1">
      <c r="A327" s="7"/>
      <c r="B327" s="7"/>
      <c r="C327" s="7"/>
      <c r="D327" s="7"/>
      <c r="E327" s="1">
        <f>IFERROR(VLOOKUP(B327,Namirnice!$B$4:$J$200,9,FALSE),0)</f>
        <v>0</v>
      </c>
      <c r="F327" s="1">
        <f t="shared" si="1"/>
        <v>0</v>
      </c>
    </row>
    <row r="328" ht="14.25" customHeight="1">
      <c r="A328" s="7"/>
      <c r="B328" s="7"/>
      <c r="C328" s="7"/>
      <c r="D328" s="7"/>
      <c r="E328" s="1">
        <f>IFERROR(VLOOKUP(B328,Namirnice!$B$4:$J$200,9,FALSE),0)</f>
        <v>0</v>
      </c>
      <c r="F328" s="1">
        <f t="shared" si="1"/>
        <v>0</v>
      </c>
    </row>
    <row r="329" ht="14.25" customHeight="1">
      <c r="A329" s="7"/>
      <c r="B329" s="7"/>
      <c r="C329" s="7"/>
      <c r="D329" s="7"/>
      <c r="E329" s="1">
        <f>IFERROR(VLOOKUP(B329,Namirnice!$B$4:$J$200,9,FALSE),0)</f>
        <v>0</v>
      </c>
      <c r="F329" s="1">
        <f t="shared" si="1"/>
        <v>0</v>
      </c>
    </row>
    <row r="330" ht="14.25" customHeight="1">
      <c r="A330" s="7"/>
      <c r="B330" s="7"/>
      <c r="C330" s="7"/>
      <c r="D330" s="7"/>
      <c r="E330" s="1">
        <f>IFERROR(VLOOKUP(B330,Namirnice!$B$4:$J$200,9,FALSE),0)</f>
        <v>0</v>
      </c>
      <c r="F330" s="1">
        <f t="shared" si="1"/>
        <v>0</v>
      </c>
    </row>
    <row r="331" ht="14.25" customHeight="1">
      <c r="A331" s="7"/>
      <c r="B331" s="7"/>
      <c r="C331" s="7"/>
      <c r="D331" s="7"/>
      <c r="E331" s="1">
        <f>IFERROR(VLOOKUP(B331,Namirnice!$B$4:$J$200,9,FALSE),0)</f>
        <v>0</v>
      </c>
      <c r="F331" s="1">
        <f t="shared" si="1"/>
        <v>0</v>
      </c>
    </row>
    <row r="332" ht="14.25" customHeight="1">
      <c r="A332" s="7"/>
      <c r="B332" s="7"/>
      <c r="C332" s="7"/>
      <c r="D332" s="7"/>
      <c r="E332" s="1">
        <f>IFERROR(VLOOKUP(B332,Namirnice!$B$4:$J$200,9,FALSE),0)</f>
        <v>0</v>
      </c>
      <c r="F332" s="1">
        <f t="shared" si="1"/>
        <v>0</v>
      </c>
    </row>
    <row r="333" ht="14.25" customHeight="1">
      <c r="A333" s="7"/>
      <c r="B333" s="7"/>
      <c r="C333" s="7"/>
      <c r="D333" s="7"/>
      <c r="E333" s="1">
        <f>IFERROR(VLOOKUP(B333,Namirnice!$B$4:$J$200,9,FALSE),0)</f>
        <v>0</v>
      </c>
      <c r="F333" s="1">
        <f t="shared" si="1"/>
        <v>0</v>
      </c>
    </row>
    <row r="334" ht="14.25" customHeight="1">
      <c r="A334" s="7"/>
      <c r="B334" s="7"/>
      <c r="C334" s="7"/>
      <c r="D334" s="7"/>
      <c r="E334" s="1">
        <f>IFERROR(VLOOKUP(B334,Namirnice!$B$4:$J$200,9,FALSE),0)</f>
        <v>0</v>
      </c>
      <c r="F334" s="1">
        <f t="shared" si="1"/>
        <v>0</v>
      </c>
    </row>
    <row r="335" ht="14.25" customHeight="1">
      <c r="A335" s="7"/>
      <c r="B335" s="7"/>
      <c r="C335" s="7"/>
      <c r="D335" s="7"/>
      <c r="E335" s="1">
        <f>IFERROR(VLOOKUP(B335,Namirnice!$B$4:$J$200,9,FALSE),0)</f>
        <v>0</v>
      </c>
      <c r="F335" s="1">
        <f t="shared" si="1"/>
        <v>0</v>
      </c>
    </row>
    <row r="336" ht="14.25" customHeight="1">
      <c r="A336" s="7"/>
      <c r="B336" s="7"/>
      <c r="C336" s="7"/>
      <c r="D336" s="7"/>
      <c r="E336" s="1">
        <f>IFERROR(VLOOKUP(B336,Namirnice!$B$4:$J$200,9,FALSE),0)</f>
        <v>0</v>
      </c>
      <c r="F336" s="1">
        <f t="shared" si="1"/>
        <v>0</v>
      </c>
    </row>
    <row r="337" ht="14.25" customHeight="1">
      <c r="A337" s="7"/>
      <c r="B337" s="7"/>
      <c r="C337" s="7"/>
      <c r="D337" s="7"/>
      <c r="E337" s="1">
        <f>IFERROR(VLOOKUP(B337,Namirnice!$B$4:$J$200,9,FALSE),0)</f>
        <v>0</v>
      </c>
      <c r="F337" s="1">
        <f t="shared" si="1"/>
        <v>0</v>
      </c>
    </row>
    <row r="338" ht="14.25" customHeight="1">
      <c r="A338" s="7"/>
      <c r="B338" s="7"/>
      <c r="C338" s="7"/>
      <c r="D338" s="7"/>
      <c r="E338" s="1">
        <f>IFERROR(VLOOKUP(B338,Namirnice!$B$4:$J$200,9,FALSE),0)</f>
        <v>0</v>
      </c>
      <c r="F338" s="1">
        <f t="shared" si="1"/>
        <v>0</v>
      </c>
    </row>
    <row r="339" ht="14.25" customHeight="1">
      <c r="A339" s="7"/>
      <c r="B339" s="7"/>
      <c r="C339" s="7"/>
      <c r="D339" s="7"/>
      <c r="E339" s="1">
        <f>IFERROR(VLOOKUP(B339,Namirnice!$B$4:$J$200,9,FALSE),0)</f>
        <v>0</v>
      </c>
      <c r="F339" s="1">
        <f t="shared" si="1"/>
        <v>0</v>
      </c>
    </row>
    <row r="340" ht="14.25" customHeight="1">
      <c r="A340" s="7"/>
      <c r="B340" s="7"/>
      <c r="C340" s="7"/>
      <c r="D340" s="7"/>
      <c r="E340" s="1">
        <f>IFERROR(VLOOKUP(B340,Namirnice!$B$4:$J$200,9,FALSE),0)</f>
        <v>0</v>
      </c>
      <c r="F340" s="1">
        <f t="shared" si="1"/>
        <v>0</v>
      </c>
    </row>
    <row r="341" ht="14.25" customHeight="1">
      <c r="A341" s="7"/>
      <c r="B341" s="7"/>
      <c r="C341" s="7"/>
      <c r="D341" s="7"/>
      <c r="E341" s="1">
        <f>IFERROR(VLOOKUP(B341,Namirnice!$B$4:$J$200,9,FALSE),0)</f>
        <v>0</v>
      </c>
      <c r="F341" s="1">
        <f t="shared" si="1"/>
        <v>0</v>
      </c>
    </row>
    <row r="342" ht="14.25" customHeight="1">
      <c r="A342" s="7"/>
      <c r="B342" s="7"/>
      <c r="C342" s="7"/>
      <c r="D342" s="7"/>
      <c r="E342" s="1">
        <f>IFERROR(VLOOKUP(B342,Namirnice!$B$4:$J$200,9,FALSE),0)</f>
        <v>0</v>
      </c>
      <c r="F342" s="1">
        <f t="shared" si="1"/>
        <v>0</v>
      </c>
    </row>
    <row r="343" ht="14.25" customHeight="1">
      <c r="A343" s="7"/>
      <c r="B343" s="7"/>
      <c r="C343" s="7"/>
      <c r="D343" s="7"/>
      <c r="E343" s="1">
        <f>IFERROR(VLOOKUP(B343,Namirnice!$B$4:$J$200,9,FALSE),0)</f>
        <v>0</v>
      </c>
      <c r="F343" s="1">
        <f t="shared" si="1"/>
        <v>0</v>
      </c>
    </row>
    <row r="344" ht="14.25" customHeight="1">
      <c r="A344" s="7"/>
      <c r="B344" s="7"/>
      <c r="C344" s="7"/>
      <c r="D344" s="7"/>
      <c r="E344" s="1">
        <f>IFERROR(VLOOKUP(B344,Namirnice!$B$4:$J$200,9,FALSE),0)</f>
        <v>0</v>
      </c>
      <c r="F344" s="1">
        <f t="shared" si="1"/>
        <v>0</v>
      </c>
    </row>
    <row r="345" ht="14.25" customHeight="1">
      <c r="A345" s="7"/>
      <c r="B345" s="7"/>
      <c r="C345" s="7"/>
      <c r="D345" s="7"/>
      <c r="E345" s="1">
        <f>IFERROR(VLOOKUP(B345,Namirnice!$B$4:$J$200,9,FALSE),0)</f>
        <v>0</v>
      </c>
      <c r="F345" s="1">
        <f t="shared" si="1"/>
        <v>0</v>
      </c>
    </row>
    <row r="346" ht="14.25" customHeight="1">
      <c r="A346" s="7"/>
      <c r="B346" s="7"/>
      <c r="C346" s="7"/>
      <c r="D346" s="7"/>
      <c r="E346" s="1">
        <f>IFERROR(VLOOKUP(B346,Namirnice!$B$4:$J$200,9,FALSE),0)</f>
        <v>0</v>
      </c>
      <c r="F346" s="1">
        <f t="shared" si="1"/>
        <v>0</v>
      </c>
    </row>
    <row r="347" ht="14.25" customHeight="1">
      <c r="A347" s="7"/>
      <c r="B347" s="7"/>
      <c r="C347" s="7"/>
      <c r="D347" s="7"/>
      <c r="E347" s="1">
        <f>IFERROR(VLOOKUP(B347,Namirnice!$B$4:$J$200,9,FALSE),0)</f>
        <v>0</v>
      </c>
      <c r="F347" s="1">
        <f t="shared" si="1"/>
        <v>0</v>
      </c>
    </row>
    <row r="348" ht="14.25" customHeight="1">
      <c r="A348" s="7"/>
      <c r="B348" s="7"/>
      <c r="C348" s="7"/>
      <c r="D348" s="7"/>
      <c r="E348" s="1">
        <f>IFERROR(VLOOKUP(B348,Namirnice!$B$4:$J$200,9,FALSE),0)</f>
        <v>0</v>
      </c>
      <c r="F348" s="1">
        <f t="shared" si="1"/>
        <v>0</v>
      </c>
    </row>
    <row r="349" ht="14.25" customHeight="1">
      <c r="A349" s="7"/>
      <c r="B349" s="7"/>
      <c r="C349" s="7"/>
      <c r="D349" s="7"/>
      <c r="E349" s="1">
        <f>IFERROR(VLOOKUP(B349,Namirnice!$B$4:$J$200,9,FALSE),0)</f>
        <v>0</v>
      </c>
      <c r="F349" s="1">
        <f t="shared" si="1"/>
        <v>0</v>
      </c>
    </row>
    <row r="350" ht="14.25" customHeight="1">
      <c r="A350" s="7"/>
      <c r="B350" s="7"/>
      <c r="C350" s="7"/>
      <c r="D350" s="7"/>
      <c r="E350" s="1">
        <f>IFERROR(VLOOKUP(B350,Namirnice!$B$4:$J$200,9,FALSE),0)</f>
        <v>0</v>
      </c>
      <c r="F350" s="1">
        <f t="shared" si="1"/>
        <v>0</v>
      </c>
    </row>
    <row r="351" ht="14.25" customHeight="1">
      <c r="A351" s="7"/>
      <c r="B351" s="7"/>
      <c r="C351" s="7"/>
      <c r="D351" s="7"/>
      <c r="E351" s="1">
        <f>IFERROR(VLOOKUP(B351,Namirnice!$B$4:$J$200,9,FALSE),0)</f>
        <v>0</v>
      </c>
      <c r="F351" s="1">
        <f t="shared" si="1"/>
        <v>0</v>
      </c>
    </row>
    <row r="352" ht="14.25" customHeight="1">
      <c r="A352" s="7"/>
      <c r="B352" s="7"/>
      <c r="C352" s="7"/>
      <c r="D352" s="7"/>
      <c r="E352" s="1">
        <f>IFERROR(VLOOKUP(B352,Namirnice!$B$4:$J$200,9,FALSE),0)</f>
        <v>0</v>
      </c>
      <c r="F352" s="1">
        <f t="shared" si="1"/>
        <v>0</v>
      </c>
    </row>
    <row r="353" ht="14.25" customHeight="1">
      <c r="A353" s="7"/>
      <c r="B353" s="7"/>
      <c r="C353" s="7"/>
      <c r="D353" s="7"/>
      <c r="E353" s="1">
        <f>IFERROR(VLOOKUP(B353,Namirnice!$B$4:$J$200,9,FALSE),0)</f>
        <v>0</v>
      </c>
      <c r="F353" s="1">
        <f t="shared" si="1"/>
        <v>0</v>
      </c>
    </row>
    <row r="354" ht="14.25" customHeight="1">
      <c r="A354" s="7"/>
      <c r="B354" s="7"/>
      <c r="C354" s="7"/>
      <c r="D354" s="7"/>
      <c r="E354" s="1">
        <f>IFERROR(VLOOKUP(B354,Namirnice!$B$4:$J$200,9,FALSE),0)</f>
        <v>0</v>
      </c>
      <c r="F354" s="1">
        <f t="shared" si="1"/>
        <v>0</v>
      </c>
    </row>
    <row r="355" ht="14.25" customHeight="1">
      <c r="A355" s="7"/>
      <c r="B355" s="7"/>
      <c r="C355" s="7"/>
      <c r="D355" s="7"/>
      <c r="E355" s="1">
        <f>IFERROR(VLOOKUP(B355,Namirnice!$B$4:$J$200,9,FALSE),0)</f>
        <v>0</v>
      </c>
      <c r="F355" s="1">
        <f t="shared" si="1"/>
        <v>0</v>
      </c>
    </row>
    <row r="356" ht="14.25" customHeight="1">
      <c r="A356" s="7"/>
      <c r="B356" s="7"/>
      <c r="C356" s="7"/>
      <c r="D356" s="7"/>
      <c r="E356" s="1">
        <f>IFERROR(VLOOKUP(B356,Namirnice!$B$4:$J$200,9,FALSE),0)</f>
        <v>0</v>
      </c>
      <c r="F356" s="1">
        <f t="shared" si="1"/>
        <v>0</v>
      </c>
    </row>
    <row r="357" ht="14.25" customHeight="1">
      <c r="A357" s="7"/>
      <c r="B357" s="7"/>
      <c r="C357" s="7"/>
      <c r="D357" s="7"/>
      <c r="E357" s="1">
        <f>IFERROR(VLOOKUP(B357,Namirnice!$B$4:$J$200,9,FALSE),0)</f>
        <v>0</v>
      </c>
      <c r="F357" s="1">
        <f t="shared" si="1"/>
        <v>0</v>
      </c>
    </row>
    <row r="358" ht="14.25" customHeight="1">
      <c r="A358" s="7"/>
      <c r="B358" s="7"/>
      <c r="C358" s="7"/>
      <c r="D358" s="7"/>
      <c r="E358" s="1">
        <f>IFERROR(VLOOKUP(B358,Namirnice!$B$4:$J$200,9,FALSE),0)</f>
        <v>0</v>
      </c>
      <c r="F358" s="1">
        <f t="shared" si="1"/>
        <v>0</v>
      </c>
    </row>
    <row r="359" ht="14.25" customHeight="1">
      <c r="A359" s="7"/>
      <c r="B359" s="7"/>
      <c r="C359" s="7"/>
      <c r="D359" s="7"/>
      <c r="E359" s="1">
        <f>IFERROR(VLOOKUP(B359,Namirnice!$B$4:$J$200,9,FALSE),0)</f>
        <v>0</v>
      </c>
      <c r="F359" s="1">
        <f t="shared" si="1"/>
        <v>0</v>
      </c>
    </row>
    <row r="360" ht="14.25" customHeight="1">
      <c r="A360" s="7"/>
      <c r="B360" s="7"/>
      <c r="C360" s="7"/>
      <c r="D360" s="7"/>
      <c r="E360" s="1">
        <f>IFERROR(VLOOKUP(B360,Namirnice!$B$4:$J$200,9,FALSE),0)</f>
        <v>0</v>
      </c>
      <c r="F360" s="1">
        <f t="shared" si="1"/>
        <v>0</v>
      </c>
    </row>
    <row r="361" ht="14.25" customHeight="1">
      <c r="A361" s="7"/>
      <c r="B361" s="7"/>
      <c r="C361" s="7"/>
      <c r="D361" s="7"/>
      <c r="E361" s="1">
        <f>IFERROR(VLOOKUP(B361,Namirnice!$B$4:$J$200,9,FALSE),0)</f>
        <v>0</v>
      </c>
      <c r="F361" s="1">
        <f t="shared" si="1"/>
        <v>0</v>
      </c>
    </row>
    <row r="362" ht="14.25" customHeight="1">
      <c r="A362" s="7"/>
      <c r="B362" s="7"/>
      <c r="C362" s="7"/>
      <c r="D362" s="7"/>
      <c r="E362" s="1">
        <f>IFERROR(VLOOKUP(B362,Namirnice!$B$4:$J$200,9,FALSE),0)</f>
        <v>0</v>
      </c>
      <c r="F362" s="1">
        <f t="shared" si="1"/>
        <v>0</v>
      </c>
    </row>
    <row r="363" ht="14.25" customHeight="1">
      <c r="A363" s="7"/>
      <c r="B363" s="7"/>
      <c r="C363" s="7"/>
      <c r="D363" s="7"/>
      <c r="E363" s="1">
        <f>IFERROR(VLOOKUP(B363,Namirnice!$B$4:$J$200,9,FALSE),0)</f>
        <v>0</v>
      </c>
      <c r="F363" s="1">
        <f t="shared" si="1"/>
        <v>0</v>
      </c>
    </row>
    <row r="364" ht="14.25" customHeight="1">
      <c r="A364" s="7"/>
      <c r="B364" s="7"/>
      <c r="C364" s="7"/>
      <c r="D364" s="7"/>
      <c r="E364" s="1">
        <f>IFERROR(VLOOKUP(B364,Namirnice!$B$4:$J$200,9,FALSE),0)</f>
        <v>0</v>
      </c>
      <c r="F364" s="1">
        <f t="shared" si="1"/>
        <v>0</v>
      </c>
    </row>
    <row r="365" ht="14.25" customHeight="1">
      <c r="A365" s="7"/>
      <c r="B365" s="7"/>
      <c r="C365" s="7"/>
      <c r="D365" s="7"/>
      <c r="E365" s="1">
        <f>IFERROR(VLOOKUP(B365,Namirnice!$B$4:$J$200,9,FALSE),0)</f>
        <v>0</v>
      </c>
      <c r="F365" s="1">
        <f t="shared" si="1"/>
        <v>0</v>
      </c>
    </row>
    <row r="366" ht="14.25" customHeight="1">
      <c r="A366" s="7"/>
      <c r="B366" s="7"/>
      <c r="C366" s="7"/>
      <c r="D366" s="7"/>
      <c r="E366" s="1">
        <f>IFERROR(VLOOKUP(B366,Namirnice!$B$4:$J$200,9,FALSE),0)</f>
        <v>0</v>
      </c>
      <c r="F366" s="1">
        <f t="shared" si="1"/>
        <v>0</v>
      </c>
    </row>
    <row r="367" ht="14.25" customHeight="1">
      <c r="A367" s="7"/>
      <c r="B367" s="7"/>
      <c r="C367" s="7"/>
      <c r="D367" s="7"/>
      <c r="E367" s="1">
        <f>IFERROR(VLOOKUP(B367,Namirnice!$B$4:$J$200,9,FALSE),0)</f>
        <v>0</v>
      </c>
      <c r="F367" s="1">
        <f t="shared" si="1"/>
        <v>0</v>
      </c>
    </row>
    <row r="368" ht="14.25" customHeight="1">
      <c r="A368" s="7"/>
      <c r="B368" s="7"/>
      <c r="C368" s="7"/>
      <c r="D368" s="7"/>
      <c r="E368" s="1">
        <f>IFERROR(VLOOKUP(B368,Namirnice!$B$4:$J$200,9,FALSE),0)</f>
        <v>0</v>
      </c>
      <c r="F368" s="1">
        <f t="shared" si="1"/>
        <v>0</v>
      </c>
    </row>
    <row r="369" ht="14.25" customHeight="1">
      <c r="A369" s="7"/>
      <c r="B369" s="7"/>
      <c r="C369" s="7"/>
      <c r="D369" s="7"/>
      <c r="E369" s="1">
        <f>IFERROR(VLOOKUP(B369,Namirnice!$B$4:$J$200,9,FALSE),0)</f>
        <v>0</v>
      </c>
      <c r="F369" s="1">
        <f t="shared" si="1"/>
        <v>0</v>
      </c>
    </row>
    <row r="370" ht="14.25" customHeight="1">
      <c r="A370" s="7"/>
      <c r="B370" s="7"/>
      <c r="C370" s="7"/>
      <c r="D370" s="7"/>
      <c r="E370" s="1">
        <f>IFERROR(VLOOKUP(B370,Namirnice!$B$4:$J$200,9,FALSE),0)</f>
        <v>0</v>
      </c>
      <c r="F370" s="1">
        <f t="shared" si="1"/>
        <v>0</v>
      </c>
    </row>
    <row r="371" ht="14.25" customHeight="1">
      <c r="A371" s="7"/>
      <c r="B371" s="7"/>
      <c r="C371" s="7"/>
      <c r="D371" s="7"/>
      <c r="E371" s="1">
        <f>IFERROR(VLOOKUP(B371,Namirnice!$B$4:$J$200,9,FALSE),0)</f>
        <v>0</v>
      </c>
      <c r="F371" s="1">
        <f t="shared" si="1"/>
        <v>0</v>
      </c>
    </row>
    <row r="372" ht="14.25" customHeight="1">
      <c r="A372" s="7"/>
      <c r="B372" s="7"/>
      <c r="C372" s="7"/>
      <c r="D372" s="7"/>
      <c r="E372" s="1">
        <f>IFERROR(VLOOKUP(B372,Namirnice!$B$4:$J$200,9,FALSE),0)</f>
        <v>0</v>
      </c>
      <c r="F372" s="1">
        <f t="shared" si="1"/>
        <v>0</v>
      </c>
    </row>
    <row r="373" ht="14.25" customHeight="1">
      <c r="A373" s="7"/>
      <c r="B373" s="7"/>
      <c r="C373" s="7"/>
      <c r="D373" s="7"/>
      <c r="E373" s="1">
        <f>IFERROR(VLOOKUP(B373,Namirnice!$B$4:$J$200,9,FALSE),0)</f>
        <v>0</v>
      </c>
      <c r="F373" s="1">
        <f t="shared" si="1"/>
        <v>0</v>
      </c>
    </row>
    <row r="374" ht="14.25" customHeight="1">
      <c r="A374" s="7"/>
      <c r="B374" s="7"/>
      <c r="C374" s="7"/>
      <c r="D374" s="7"/>
      <c r="E374" s="1">
        <f>IFERROR(VLOOKUP(B374,Namirnice!$B$4:$J$200,9,FALSE),0)</f>
        <v>0</v>
      </c>
      <c r="F374" s="1">
        <f t="shared" si="1"/>
        <v>0</v>
      </c>
    </row>
    <row r="375" ht="14.25" customHeight="1">
      <c r="A375" s="7"/>
      <c r="B375" s="7"/>
      <c r="C375" s="7"/>
      <c r="D375" s="7"/>
      <c r="E375" s="1">
        <f>IFERROR(VLOOKUP(B375,Namirnice!$B$4:$J$200,9,FALSE),0)</f>
        <v>0</v>
      </c>
      <c r="F375" s="1">
        <f t="shared" si="1"/>
        <v>0</v>
      </c>
    </row>
    <row r="376" ht="14.25" customHeight="1">
      <c r="A376" s="7"/>
      <c r="B376" s="7"/>
      <c r="C376" s="7"/>
      <c r="D376" s="7"/>
      <c r="E376" s="1">
        <f>IFERROR(VLOOKUP(B376,Namirnice!$B$4:$J$200,9,FALSE),0)</f>
        <v>0</v>
      </c>
      <c r="F376" s="1">
        <f t="shared" si="1"/>
        <v>0</v>
      </c>
    </row>
    <row r="377" ht="14.25" customHeight="1">
      <c r="A377" s="7"/>
      <c r="B377" s="7"/>
      <c r="C377" s="7"/>
      <c r="D377" s="7"/>
      <c r="E377" s="1">
        <f>IFERROR(VLOOKUP(B377,Namirnice!$B$4:$J$200,9,FALSE),0)</f>
        <v>0</v>
      </c>
      <c r="F377" s="1">
        <f t="shared" si="1"/>
        <v>0</v>
      </c>
    </row>
    <row r="378" ht="14.25" customHeight="1">
      <c r="A378" s="7"/>
      <c r="B378" s="7"/>
      <c r="C378" s="7"/>
      <c r="D378" s="7"/>
      <c r="E378" s="1">
        <f>IFERROR(VLOOKUP(B378,Namirnice!$B$4:$J$200,9,FALSE),0)</f>
        <v>0</v>
      </c>
      <c r="F378" s="1">
        <f t="shared" si="1"/>
        <v>0</v>
      </c>
    </row>
    <row r="379" ht="14.25" customHeight="1">
      <c r="A379" s="7"/>
      <c r="B379" s="7"/>
      <c r="C379" s="7"/>
      <c r="D379" s="7"/>
      <c r="E379" s="1">
        <f>IFERROR(VLOOKUP(B379,Namirnice!$B$4:$J$200,9,FALSE),0)</f>
        <v>0</v>
      </c>
      <c r="F379" s="1">
        <f t="shared" si="1"/>
        <v>0</v>
      </c>
    </row>
    <row r="380" ht="14.25" customHeight="1">
      <c r="A380" s="7"/>
      <c r="B380" s="7"/>
      <c r="C380" s="7"/>
      <c r="D380" s="7"/>
      <c r="E380" s="1">
        <f>IFERROR(VLOOKUP(B380,Namirnice!$B$4:$J$200,9,FALSE),0)</f>
        <v>0</v>
      </c>
      <c r="F380" s="1">
        <f t="shared" si="1"/>
        <v>0</v>
      </c>
    </row>
    <row r="381" ht="14.25" customHeight="1">
      <c r="A381" s="7"/>
      <c r="B381" s="7"/>
      <c r="C381" s="7"/>
      <c r="D381" s="7"/>
      <c r="E381" s="1">
        <f>IFERROR(VLOOKUP(B381,Namirnice!$B$4:$J$200,9,FALSE),0)</f>
        <v>0</v>
      </c>
      <c r="F381" s="1">
        <f t="shared" si="1"/>
        <v>0</v>
      </c>
    </row>
    <row r="382" ht="14.25" customHeight="1">
      <c r="A382" s="7"/>
      <c r="B382" s="7"/>
      <c r="C382" s="7"/>
      <c r="D382" s="7"/>
      <c r="E382" s="1">
        <f>IFERROR(VLOOKUP(B382,Namirnice!$B$4:$J$200,9,FALSE),0)</f>
        <v>0</v>
      </c>
      <c r="F382" s="1">
        <f t="shared" si="1"/>
        <v>0</v>
      </c>
    </row>
    <row r="383" ht="14.25" customHeight="1">
      <c r="A383" s="7"/>
      <c r="B383" s="7"/>
      <c r="C383" s="7"/>
      <c r="D383" s="7"/>
      <c r="E383" s="1">
        <f>IFERROR(VLOOKUP(B383,Namirnice!$B$4:$J$200,9,FALSE),0)</f>
        <v>0</v>
      </c>
      <c r="F383" s="1">
        <f t="shared" si="1"/>
        <v>0</v>
      </c>
    </row>
    <row r="384" ht="14.25" customHeight="1">
      <c r="A384" s="7"/>
      <c r="B384" s="7"/>
      <c r="C384" s="7"/>
      <c r="D384" s="7"/>
      <c r="E384" s="1">
        <f>IFERROR(VLOOKUP(B384,Namirnice!$B$4:$J$200,9,FALSE),0)</f>
        <v>0</v>
      </c>
      <c r="F384" s="1">
        <f t="shared" si="1"/>
        <v>0</v>
      </c>
    </row>
    <row r="385" ht="14.25" customHeight="1">
      <c r="A385" s="7"/>
      <c r="B385" s="7"/>
      <c r="C385" s="7"/>
      <c r="D385" s="7"/>
      <c r="E385" s="1">
        <f>IFERROR(VLOOKUP(B385,Namirnice!$B$4:$J$200,9,FALSE),0)</f>
        <v>0</v>
      </c>
      <c r="F385" s="1">
        <f t="shared" si="1"/>
        <v>0</v>
      </c>
    </row>
    <row r="386" ht="14.25" customHeight="1">
      <c r="A386" s="7"/>
      <c r="B386" s="7"/>
      <c r="C386" s="7"/>
      <c r="D386" s="7"/>
      <c r="E386" s="1">
        <f>IFERROR(VLOOKUP(B386,Namirnice!$B$4:$J$200,9,FALSE),0)</f>
        <v>0</v>
      </c>
      <c r="F386" s="1">
        <f t="shared" si="1"/>
        <v>0</v>
      </c>
    </row>
    <row r="387" ht="14.25" customHeight="1">
      <c r="A387" s="7"/>
      <c r="B387" s="7"/>
      <c r="C387" s="7"/>
      <c r="D387" s="7"/>
      <c r="E387" s="1">
        <f>IFERROR(VLOOKUP(B387,Namirnice!$B$4:$J$200,9,FALSE),0)</f>
        <v>0</v>
      </c>
      <c r="F387" s="1">
        <f t="shared" si="1"/>
        <v>0</v>
      </c>
    </row>
    <row r="388" ht="14.25" customHeight="1">
      <c r="A388" s="7"/>
      <c r="B388" s="7"/>
      <c r="C388" s="7"/>
      <c r="D388" s="7"/>
      <c r="E388" s="1">
        <f>IFERROR(VLOOKUP(B388,Namirnice!$B$4:$J$200,9,FALSE),0)</f>
        <v>0</v>
      </c>
      <c r="F388" s="1">
        <f t="shared" si="1"/>
        <v>0</v>
      </c>
    </row>
    <row r="389" ht="14.25" customHeight="1">
      <c r="A389" s="7"/>
      <c r="B389" s="7"/>
      <c r="C389" s="7"/>
      <c r="D389" s="7"/>
      <c r="E389" s="1">
        <f>IFERROR(VLOOKUP(B389,Namirnice!$B$4:$J$200,9,FALSE),0)</f>
        <v>0</v>
      </c>
      <c r="F389" s="1">
        <f t="shared" si="1"/>
        <v>0</v>
      </c>
    </row>
    <row r="390" ht="14.25" customHeight="1">
      <c r="A390" s="7"/>
      <c r="B390" s="7"/>
      <c r="C390" s="7"/>
      <c r="D390" s="7"/>
      <c r="E390" s="1">
        <f>IFERROR(VLOOKUP(B390,Namirnice!$B$4:$J$200,9,FALSE),0)</f>
        <v>0</v>
      </c>
      <c r="F390" s="1">
        <f t="shared" si="1"/>
        <v>0</v>
      </c>
    </row>
    <row r="391" ht="14.25" customHeight="1">
      <c r="A391" s="7"/>
      <c r="B391" s="7"/>
      <c r="C391" s="7"/>
      <c r="D391" s="7"/>
      <c r="E391" s="1">
        <f>IFERROR(VLOOKUP(B391,Namirnice!$B$4:$J$200,9,FALSE),0)</f>
        <v>0</v>
      </c>
      <c r="F391" s="1">
        <f t="shared" si="1"/>
        <v>0</v>
      </c>
    </row>
    <row r="392" ht="14.25" customHeight="1">
      <c r="A392" s="7"/>
      <c r="B392" s="7"/>
      <c r="C392" s="7"/>
      <c r="D392" s="7"/>
      <c r="E392" s="1">
        <f>IFERROR(VLOOKUP(B392,Namirnice!$B$4:$J$200,9,FALSE),0)</f>
        <v>0</v>
      </c>
      <c r="F392" s="1">
        <f t="shared" si="1"/>
        <v>0</v>
      </c>
    </row>
    <row r="393" ht="14.25" customHeight="1">
      <c r="A393" s="7"/>
      <c r="B393" s="7"/>
      <c r="C393" s="7"/>
      <c r="D393" s="7"/>
      <c r="E393" s="1">
        <f>IFERROR(VLOOKUP(B393,Namirnice!$B$4:$J$200,9,FALSE),0)</f>
        <v>0</v>
      </c>
      <c r="F393" s="1">
        <f t="shared" si="1"/>
        <v>0</v>
      </c>
    </row>
    <row r="394" ht="14.25" customHeight="1">
      <c r="A394" s="7"/>
      <c r="B394" s="7"/>
      <c r="C394" s="7"/>
      <c r="D394" s="7"/>
      <c r="E394" s="1">
        <f>IFERROR(VLOOKUP(B394,Namirnice!$B$4:$J$200,9,FALSE),0)</f>
        <v>0</v>
      </c>
      <c r="F394" s="1">
        <f t="shared" si="1"/>
        <v>0</v>
      </c>
    </row>
    <row r="395" ht="14.25" customHeight="1">
      <c r="A395" s="7"/>
      <c r="B395" s="7"/>
      <c r="C395" s="7"/>
      <c r="D395" s="7"/>
      <c r="E395" s="1">
        <f>IFERROR(VLOOKUP(B395,Namirnice!$B$4:$J$200,9,FALSE),0)</f>
        <v>0</v>
      </c>
      <c r="F395" s="1">
        <f t="shared" si="1"/>
        <v>0</v>
      </c>
    </row>
    <row r="396" ht="14.25" customHeight="1">
      <c r="A396" s="7"/>
      <c r="B396" s="7"/>
      <c r="C396" s="7"/>
      <c r="D396" s="7"/>
      <c r="E396" s="1">
        <f>IFERROR(VLOOKUP(B396,Namirnice!$B$4:$J$200,9,FALSE),0)</f>
        <v>0</v>
      </c>
      <c r="F396" s="1">
        <f t="shared" si="1"/>
        <v>0</v>
      </c>
    </row>
    <row r="397" ht="14.25" customHeight="1">
      <c r="A397" s="7"/>
      <c r="B397" s="7"/>
      <c r="C397" s="7"/>
      <c r="D397" s="7"/>
      <c r="E397" s="1">
        <f>IFERROR(VLOOKUP(B397,Namirnice!$B$4:$J$200,9,FALSE),0)</f>
        <v>0</v>
      </c>
      <c r="F397" s="1">
        <f t="shared" si="1"/>
        <v>0</v>
      </c>
    </row>
    <row r="398" ht="14.25" customHeight="1">
      <c r="A398" s="7"/>
      <c r="B398" s="7"/>
      <c r="C398" s="7"/>
      <c r="D398" s="7"/>
      <c r="E398" s="1">
        <f>IFERROR(VLOOKUP(B398,Namirnice!$B$4:$J$200,9,FALSE),0)</f>
        <v>0</v>
      </c>
      <c r="F398" s="1">
        <f t="shared" si="1"/>
        <v>0</v>
      </c>
    </row>
    <row r="399" ht="14.25" customHeight="1">
      <c r="A399" s="7"/>
      <c r="B399" s="7"/>
      <c r="C399" s="7"/>
      <c r="D399" s="7"/>
      <c r="E399" s="1">
        <f>IFERROR(VLOOKUP(B399,Namirnice!$B$4:$J$200,9,FALSE),0)</f>
        <v>0</v>
      </c>
      <c r="F399" s="1">
        <f t="shared" si="1"/>
        <v>0</v>
      </c>
    </row>
    <row r="400" ht="14.25" customHeight="1">
      <c r="A400" s="7"/>
      <c r="B400" s="7"/>
      <c r="C400" s="7"/>
      <c r="D400" s="7"/>
      <c r="E400" s="1">
        <f>IFERROR(VLOOKUP(B400,Namirnice!$B$4:$J$200,9,FALSE),0)</f>
        <v>0</v>
      </c>
      <c r="F400" s="1">
        <f t="shared" si="1"/>
        <v>0</v>
      </c>
    </row>
    <row r="401" ht="14.25" customHeight="1">
      <c r="A401" s="7"/>
      <c r="B401" s="7"/>
      <c r="C401" s="7"/>
      <c r="D401" s="7"/>
      <c r="E401" s="1">
        <f>IFERROR(VLOOKUP(B401,Namirnice!$B$4:$J$200,9,FALSE),0)</f>
        <v>0</v>
      </c>
      <c r="F401" s="1">
        <f t="shared" si="1"/>
        <v>0</v>
      </c>
    </row>
    <row r="402" ht="14.25" customHeight="1">
      <c r="A402" s="7"/>
      <c r="B402" s="7"/>
      <c r="C402" s="7"/>
      <c r="D402" s="7"/>
      <c r="E402" s="1">
        <f>IFERROR(VLOOKUP(B402,Namirnice!$B$4:$J$200,9,FALSE),0)</f>
        <v>0</v>
      </c>
      <c r="F402" s="1">
        <f t="shared" si="1"/>
        <v>0</v>
      </c>
    </row>
    <row r="403" ht="14.25" customHeight="1">
      <c r="A403" s="7"/>
      <c r="B403" s="7"/>
      <c r="C403" s="7"/>
      <c r="D403" s="7"/>
      <c r="E403" s="1">
        <f>IFERROR(VLOOKUP(B403,Namirnice!$B$4:$J$200,9,FALSE),0)</f>
        <v>0</v>
      </c>
      <c r="F403" s="1">
        <f t="shared" si="1"/>
        <v>0</v>
      </c>
    </row>
    <row r="404" ht="14.25" customHeight="1">
      <c r="A404" s="7"/>
      <c r="B404" s="7"/>
      <c r="C404" s="7"/>
      <c r="D404" s="7"/>
      <c r="E404" s="1">
        <f>IFERROR(VLOOKUP(B404,Namirnice!$B$4:$J$200,9,FALSE),0)</f>
        <v>0</v>
      </c>
      <c r="F404" s="1">
        <f t="shared" si="1"/>
        <v>0</v>
      </c>
    </row>
    <row r="405" ht="14.25" customHeight="1">
      <c r="A405" s="7"/>
      <c r="B405" s="7"/>
      <c r="C405" s="7"/>
      <c r="D405" s="7"/>
      <c r="E405" s="1">
        <f>IFERROR(VLOOKUP(B405,Namirnice!$B$4:$J$200,9,FALSE),0)</f>
        <v>0</v>
      </c>
      <c r="F405" s="1">
        <f t="shared" si="1"/>
        <v>0</v>
      </c>
    </row>
    <row r="406" ht="14.25" customHeight="1">
      <c r="A406" s="7"/>
      <c r="B406" s="7"/>
      <c r="C406" s="7"/>
      <c r="D406" s="7"/>
      <c r="E406" s="1">
        <f>IFERROR(VLOOKUP(B406,Namirnice!$B$4:$J$200,9,FALSE),0)</f>
        <v>0</v>
      </c>
      <c r="F406" s="1">
        <f t="shared" si="1"/>
        <v>0</v>
      </c>
    </row>
    <row r="407" ht="14.25" customHeight="1">
      <c r="A407" s="7"/>
      <c r="B407" s="7"/>
      <c r="C407" s="7"/>
      <c r="D407" s="7"/>
      <c r="E407" s="1">
        <f>IFERROR(VLOOKUP(B407,Namirnice!$B$4:$J$200,9,FALSE),0)</f>
        <v>0</v>
      </c>
      <c r="F407" s="1">
        <f t="shared" si="1"/>
        <v>0</v>
      </c>
    </row>
    <row r="408" ht="14.25" customHeight="1">
      <c r="A408" s="7"/>
      <c r="B408" s="7"/>
      <c r="C408" s="7"/>
      <c r="D408" s="7"/>
      <c r="E408" s="1">
        <f>IFERROR(VLOOKUP(B408,Namirnice!$B$4:$J$200,9,FALSE),0)</f>
        <v>0</v>
      </c>
      <c r="F408" s="1">
        <f t="shared" si="1"/>
        <v>0</v>
      </c>
    </row>
    <row r="409" ht="14.25" customHeight="1">
      <c r="A409" s="7"/>
      <c r="B409" s="7"/>
      <c r="C409" s="7"/>
      <c r="D409" s="7"/>
      <c r="E409" s="1">
        <f>IFERROR(VLOOKUP(B409,Namirnice!$B$4:$J$200,9,FALSE),0)</f>
        <v>0</v>
      </c>
      <c r="F409" s="1">
        <f t="shared" si="1"/>
        <v>0</v>
      </c>
    </row>
    <row r="410" ht="14.25" customHeight="1">
      <c r="A410" s="7"/>
      <c r="B410" s="7"/>
      <c r="C410" s="7"/>
      <c r="D410" s="7"/>
      <c r="E410" s="1">
        <f>IFERROR(VLOOKUP(B410,Namirnice!$B$4:$J$200,9,FALSE),0)</f>
        <v>0</v>
      </c>
      <c r="F410" s="1">
        <f t="shared" si="1"/>
        <v>0</v>
      </c>
    </row>
    <row r="411" ht="14.25" customHeight="1">
      <c r="A411" s="7"/>
      <c r="B411" s="7"/>
      <c r="C411" s="7"/>
      <c r="D411" s="7"/>
      <c r="E411" s="1">
        <f>IFERROR(VLOOKUP(B411,Namirnice!$B$4:$J$200,9,FALSE),0)</f>
        <v>0</v>
      </c>
      <c r="F411" s="1">
        <f t="shared" si="1"/>
        <v>0</v>
      </c>
    </row>
    <row r="412" ht="14.25" customHeight="1">
      <c r="A412" s="7"/>
      <c r="B412" s="7"/>
      <c r="C412" s="7"/>
      <c r="D412" s="7"/>
      <c r="E412" s="1">
        <f>IFERROR(VLOOKUP(B412,Namirnice!$B$4:$J$200,9,FALSE),0)</f>
        <v>0</v>
      </c>
      <c r="F412" s="1">
        <f t="shared" si="1"/>
        <v>0</v>
      </c>
    </row>
    <row r="413" ht="14.25" customHeight="1">
      <c r="A413" s="7"/>
      <c r="B413" s="7"/>
      <c r="C413" s="7"/>
      <c r="D413" s="7"/>
      <c r="E413" s="1">
        <f>IFERROR(VLOOKUP(B413,Namirnice!$B$4:$J$200,9,FALSE),0)</f>
        <v>0</v>
      </c>
      <c r="F413" s="1">
        <f t="shared" si="1"/>
        <v>0</v>
      </c>
    </row>
    <row r="414" ht="14.25" customHeight="1">
      <c r="A414" s="7"/>
      <c r="B414" s="7"/>
      <c r="C414" s="7"/>
      <c r="D414" s="7"/>
      <c r="E414" s="1">
        <f>IFERROR(VLOOKUP(B414,Namirnice!$B$4:$J$200,9,FALSE),0)</f>
        <v>0</v>
      </c>
      <c r="F414" s="1">
        <f t="shared" si="1"/>
        <v>0</v>
      </c>
    </row>
    <row r="415" ht="14.25" customHeight="1">
      <c r="A415" s="7"/>
      <c r="B415" s="7"/>
      <c r="C415" s="7"/>
      <c r="D415" s="7"/>
      <c r="E415" s="1">
        <f>IFERROR(VLOOKUP(B415,Namirnice!$B$4:$J$200,9,FALSE),0)</f>
        <v>0</v>
      </c>
      <c r="F415" s="1">
        <f t="shared" si="1"/>
        <v>0</v>
      </c>
    </row>
    <row r="416" ht="14.25" customHeight="1">
      <c r="A416" s="7"/>
      <c r="B416" s="7"/>
      <c r="C416" s="7"/>
      <c r="D416" s="7"/>
      <c r="E416" s="1">
        <f>IFERROR(VLOOKUP(B416,Namirnice!$B$4:$J$200,9,FALSE),0)</f>
        <v>0</v>
      </c>
      <c r="F416" s="1">
        <f t="shared" si="1"/>
        <v>0</v>
      </c>
    </row>
    <row r="417" ht="14.25" customHeight="1">
      <c r="A417" s="7"/>
      <c r="B417" s="7"/>
      <c r="C417" s="7"/>
      <c r="D417" s="7"/>
      <c r="E417" s="1">
        <f>IFERROR(VLOOKUP(B417,Namirnice!$B$4:$J$200,9,FALSE),0)</f>
        <v>0</v>
      </c>
      <c r="F417" s="1">
        <f t="shared" si="1"/>
        <v>0</v>
      </c>
    </row>
    <row r="418" ht="14.25" customHeight="1">
      <c r="A418" s="7"/>
      <c r="B418" s="7"/>
      <c r="C418" s="7"/>
      <c r="D418" s="7"/>
      <c r="E418" s="1">
        <f>IFERROR(VLOOKUP(B418,Namirnice!$B$4:$J$200,9,FALSE),0)</f>
        <v>0</v>
      </c>
      <c r="F418" s="1">
        <f t="shared" si="1"/>
        <v>0</v>
      </c>
    </row>
    <row r="419" ht="14.25" customHeight="1">
      <c r="A419" s="7"/>
      <c r="B419" s="7"/>
      <c r="C419" s="7"/>
      <c r="D419" s="7"/>
      <c r="E419" s="1">
        <f>IFERROR(VLOOKUP(B419,Namirnice!$B$4:$J$200,9,FALSE),0)</f>
        <v>0</v>
      </c>
      <c r="F419" s="1">
        <f t="shared" si="1"/>
        <v>0</v>
      </c>
    </row>
    <row r="420" ht="14.25" customHeight="1">
      <c r="A420" s="7"/>
      <c r="B420" s="7"/>
      <c r="C420" s="7"/>
      <c r="D420" s="7"/>
      <c r="E420" s="1">
        <f>IFERROR(VLOOKUP(B420,Namirnice!$B$4:$J$200,9,FALSE),0)</f>
        <v>0</v>
      </c>
      <c r="F420" s="1">
        <f t="shared" si="1"/>
        <v>0</v>
      </c>
    </row>
    <row r="421" ht="14.25" customHeight="1">
      <c r="A421" s="7"/>
      <c r="B421" s="7"/>
      <c r="C421" s="7"/>
      <c r="D421" s="7"/>
      <c r="E421" s="1">
        <f>IFERROR(VLOOKUP(B421,Namirnice!$B$4:$J$200,9,FALSE),0)</f>
        <v>0</v>
      </c>
      <c r="F421" s="1">
        <f t="shared" si="1"/>
        <v>0</v>
      </c>
    </row>
    <row r="422" ht="14.25" customHeight="1">
      <c r="A422" s="7"/>
      <c r="B422" s="7"/>
      <c r="C422" s="7"/>
      <c r="D422" s="7"/>
      <c r="E422" s="1">
        <f>IFERROR(VLOOKUP(B422,Namirnice!$B$4:$J$200,9,FALSE),0)</f>
        <v>0</v>
      </c>
      <c r="F422" s="1">
        <f t="shared" si="1"/>
        <v>0</v>
      </c>
    </row>
    <row r="423" ht="14.25" customHeight="1">
      <c r="A423" s="7"/>
      <c r="B423" s="7"/>
      <c r="C423" s="7"/>
      <c r="D423" s="7"/>
      <c r="E423" s="1">
        <f>IFERROR(VLOOKUP(B423,Namirnice!$B$4:$J$200,9,FALSE),0)</f>
        <v>0</v>
      </c>
      <c r="F423" s="1">
        <f t="shared" si="1"/>
        <v>0</v>
      </c>
    </row>
    <row r="424" ht="14.25" customHeight="1">
      <c r="A424" s="7"/>
      <c r="B424" s="7"/>
      <c r="C424" s="7"/>
      <c r="D424" s="7"/>
      <c r="E424" s="1">
        <f>IFERROR(VLOOKUP(B424,Namirnice!$B$4:$J$200,9,FALSE),0)</f>
        <v>0</v>
      </c>
      <c r="F424" s="1">
        <f t="shared" si="1"/>
        <v>0</v>
      </c>
    </row>
    <row r="425" ht="14.25" customHeight="1">
      <c r="A425" s="7"/>
      <c r="B425" s="7"/>
      <c r="C425" s="7"/>
      <c r="D425" s="7"/>
      <c r="E425" s="1">
        <f>IFERROR(VLOOKUP(B425,Namirnice!$B$4:$J$200,9,FALSE),0)</f>
        <v>0</v>
      </c>
      <c r="F425" s="1">
        <f t="shared" si="1"/>
        <v>0</v>
      </c>
    </row>
    <row r="426" ht="14.25" customHeight="1">
      <c r="A426" s="7"/>
      <c r="B426" s="7"/>
      <c r="C426" s="7"/>
      <c r="D426" s="7"/>
      <c r="E426" s="1">
        <f>IFERROR(VLOOKUP(B426,Namirnice!$B$4:$J$200,9,FALSE),0)</f>
        <v>0</v>
      </c>
      <c r="F426" s="1">
        <f t="shared" si="1"/>
        <v>0</v>
      </c>
    </row>
    <row r="427" ht="14.25" customHeight="1">
      <c r="A427" s="7"/>
      <c r="B427" s="7"/>
      <c r="C427" s="7"/>
      <c r="D427" s="7"/>
      <c r="E427" s="1">
        <f>IFERROR(VLOOKUP(B427,Namirnice!$B$4:$J$200,9,FALSE),0)</f>
        <v>0</v>
      </c>
      <c r="F427" s="1">
        <f t="shared" si="1"/>
        <v>0</v>
      </c>
    </row>
    <row r="428" ht="14.25" customHeight="1">
      <c r="A428" s="7"/>
      <c r="B428" s="7"/>
      <c r="C428" s="7"/>
      <c r="D428" s="7"/>
      <c r="E428" s="1">
        <f>IFERROR(VLOOKUP(B428,Namirnice!$B$4:$J$200,9,FALSE),0)</f>
        <v>0</v>
      </c>
      <c r="F428" s="1">
        <f t="shared" si="1"/>
        <v>0</v>
      </c>
    </row>
    <row r="429" ht="14.25" customHeight="1">
      <c r="A429" s="7"/>
      <c r="B429" s="7"/>
      <c r="C429" s="7"/>
      <c r="D429" s="7"/>
      <c r="E429" s="1">
        <f>IFERROR(VLOOKUP(B429,Namirnice!$B$4:$J$200,9,FALSE),0)</f>
        <v>0</v>
      </c>
      <c r="F429" s="1">
        <f t="shared" si="1"/>
        <v>0</v>
      </c>
    </row>
    <row r="430" ht="14.25" customHeight="1">
      <c r="A430" s="7"/>
      <c r="B430" s="7"/>
      <c r="C430" s="7"/>
      <c r="D430" s="7"/>
      <c r="E430" s="1">
        <f>IFERROR(VLOOKUP(B430,Namirnice!$B$4:$J$200,9,FALSE),0)</f>
        <v>0</v>
      </c>
      <c r="F430" s="1">
        <f t="shared" si="1"/>
        <v>0</v>
      </c>
    </row>
    <row r="431" ht="14.25" customHeight="1">
      <c r="A431" s="7"/>
      <c r="B431" s="7"/>
      <c r="C431" s="7"/>
      <c r="D431" s="7"/>
      <c r="E431" s="1">
        <f>IFERROR(VLOOKUP(B431,Namirnice!$B$4:$J$200,9,FALSE),0)</f>
        <v>0</v>
      </c>
      <c r="F431" s="1">
        <f t="shared" si="1"/>
        <v>0</v>
      </c>
    </row>
    <row r="432" ht="14.25" customHeight="1">
      <c r="A432" s="7"/>
      <c r="B432" s="7"/>
      <c r="C432" s="7"/>
      <c r="D432" s="7"/>
      <c r="E432" s="1">
        <f>IFERROR(VLOOKUP(B432,Namirnice!$B$4:$J$200,9,FALSE),0)</f>
        <v>0</v>
      </c>
      <c r="F432" s="1">
        <f t="shared" si="1"/>
        <v>0</v>
      </c>
    </row>
    <row r="433" ht="14.25" customHeight="1">
      <c r="A433" s="7"/>
      <c r="B433" s="7"/>
      <c r="C433" s="7"/>
      <c r="D433" s="7"/>
      <c r="E433" s="1">
        <f>IFERROR(VLOOKUP(B433,Namirnice!$B$4:$J$200,9,FALSE),0)</f>
        <v>0</v>
      </c>
      <c r="F433" s="1">
        <f t="shared" si="1"/>
        <v>0</v>
      </c>
    </row>
    <row r="434" ht="14.25" customHeight="1">
      <c r="A434" s="7"/>
      <c r="B434" s="7"/>
      <c r="C434" s="7"/>
      <c r="D434" s="7"/>
      <c r="E434" s="1">
        <f>IFERROR(VLOOKUP(B434,Namirnice!$B$4:$J$200,9,FALSE),0)</f>
        <v>0</v>
      </c>
      <c r="F434" s="1">
        <f t="shared" si="1"/>
        <v>0</v>
      </c>
    </row>
    <row r="435" ht="14.25" customHeight="1">
      <c r="A435" s="7"/>
      <c r="B435" s="7"/>
      <c r="C435" s="7"/>
      <c r="D435" s="7"/>
      <c r="E435" s="1">
        <f>IFERROR(VLOOKUP(B435,Namirnice!$B$4:$J$200,9,FALSE),0)</f>
        <v>0</v>
      </c>
      <c r="F435" s="1">
        <f t="shared" si="1"/>
        <v>0</v>
      </c>
    </row>
    <row r="436" ht="14.25" customHeight="1">
      <c r="A436" s="7"/>
      <c r="B436" s="7"/>
      <c r="C436" s="7"/>
      <c r="D436" s="7"/>
      <c r="E436" s="1">
        <f>IFERROR(VLOOKUP(B436,Namirnice!$B$4:$J$200,9,FALSE),0)</f>
        <v>0</v>
      </c>
      <c r="F436" s="1">
        <f t="shared" si="1"/>
        <v>0</v>
      </c>
    </row>
    <row r="437" ht="14.25" customHeight="1">
      <c r="A437" s="7"/>
      <c r="B437" s="7"/>
      <c r="C437" s="7"/>
      <c r="D437" s="7"/>
      <c r="E437" s="1">
        <f>IFERROR(VLOOKUP(B437,Namirnice!$B$4:$J$200,9,FALSE),0)</f>
        <v>0</v>
      </c>
      <c r="F437" s="1">
        <f t="shared" si="1"/>
        <v>0</v>
      </c>
    </row>
    <row r="438" ht="14.25" customHeight="1">
      <c r="A438" s="7"/>
      <c r="B438" s="7"/>
      <c r="C438" s="7"/>
      <c r="D438" s="7"/>
      <c r="E438" s="1">
        <f>IFERROR(VLOOKUP(B438,Namirnice!$B$4:$J$200,9,FALSE),0)</f>
        <v>0</v>
      </c>
      <c r="F438" s="1">
        <f t="shared" si="1"/>
        <v>0</v>
      </c>
    </row>
    <row r="439" ht="14.25" customHeight="1">
      <c r="A439" s="7"/>
      <c r="B439" s="7"/>
      <c r="C439" s="7"/>
      <c r="D439" s="7"/>
      <c r="E439" s="1">
        <f>IFERROR(VLOOKUP(B439,Namirnice!$B$4:$J$200,9,FALSE),0)</f>
        <v>0</v>
      </c>
      <c r="F439" s="1">
        <f t="shared" si="1"/>
        <v>0</v>
      </c>
    </row>
    <row r="440" ht="14.25" customHeight="1">
      <c r="A440" s="7"/>
      <c r="B440" s="7"/>
      <c r="C440" s="7"/>
      <c r="D440" s="7"/>
      <c r="E440" s="1">
        <f>IFERROR(VLOOKUP(B440,Namirnice!$B$4:$J$200,9,FALSE),0)</f>
        <v>0</v>
      </c>
      <c r="F440" s="1">
        <f t="shared" si="1"/>
        <v>0</v>
      </c>
    </row>
    <row r="441" ht="14.25" customHeight="1">
      <c r="A441" s="7"/>
      <c r="B441" s="7"/>
      <c r="C441" s="7"/>
      <c r="D441" s="7"/>
      <c r="E441" s="1">
        <f>IFERROR(VLOOKUP(B441,Namirnice!$B$4:$J$200,9,FALSE),0)</f>
        <v>0</v>
      </c>
      <c r="F441" s="1">
        <f t="shared" si="1"/>
        <v>0</v>
      </c>
    </row>
    <row r="442" ht="14.25" customHeight="1">
      <c r="A442" s="7"/>
      <c r="B442" s="7"/>
      <c r="C442" s="7"/>
      <c r="D442" s="7"/>
      <c r="E442" s="1">
        <f>IFERROR(VLOOKUP(B442,Namirnice!$B$4:$J$200,9,FALSE),0)</f>
        <v>0</v>
      </c>
      <c r="F442" s="1">
        <f t="shared" si="1"/>
        <v>0</v>
      </c>
    </row>
    <row r="443" ht="14.25" customHeight="1">
      <c r="A443" s="7"/>
      <c r="B443" s="7"/>
      <c r="C443" s="7"/>
      <c r="D443" s="7"/>
      <c r="E443" s="1">
        <f>IFERROR(VLOOKUP(B443,Namirnice!$B$4:$J$200,9,FALSE),0)</f>
        <v>0</v>
      </c>
      <c r="F443" s="1">
        <f t="shared" si="1"/>
        <v>0</v>
      </c>
    </row>
    <row r="444" ht="14.25" customHeight="1">
      <c r="A444" s="7"/>
      <c r="B444" s="7"/>
      <c r="C444" s="7"/>
      <c r="D444" s="7"/>
      <c r="E444" s="1">
        <f>IFERROR(VLOOKUP(B444,Namirnice!$B$4:$J$200,9,FALSE),0)</f>
        <v>0</v>
      </c>
      <c r="F444" s="1">
        <f t="shared" si="1"/>
        <v>0</v>
      </c>
    </row>
    <row r="445" ht="14.25" customHeight="1">
      <c r="A445" s="7"/>
      <c r="B445" s="7"/>
      <c r="C445" s="7"/>
      <c r="D445" s="7"/>
      <c r="E445" s="1">
        <f>IFERROR(VLOOKUP(B445,Namirnice!$B$4:$J$200,9,FALSE),0)</f>
        <v>0</v>
      </c>
      <c r="F445" s="1">
        <f t="shared" si="1"/>
        <v>0</v>
      </c>
    </row>
    <row r="446" ht="14.25" customHeight="1">
      <c r="A446" s="7"/>
      <c r="B446" s="7"/>
      <c r="C446" s="7"/>
      <c r="D446" s="7"/>
      <c r="E446" s="1">
        <f>IFERROR(VLOOKUP(B446,Namirnice!$B$4:$J$200,9,FALSE),0)</f>
        <v>0</v>
      </c>
      <c r="F446" s="1">
        <f t="shared" si="1"/>
        <v>0</v>
      </c>
    </row>
    <row r="447" ht="14.25" customHeight="1">
      <c r="A447" s="7"/>
      <c r="B447" s="7"/>
      <c r="C447" s="7"/>
      <c r="D447" s="7"/>
      <c r="E447" s="1">
        <f>IFERROR(VLOOKUP(B447,Namirnice!$B$4:$J$200,9,FALSE),0)</f>
        <v>0</v>
      </c>
      <c r="F447" s="1">
        <f t="shared" si="1"/>
        <v>0</v>
      </c>
    </row>
    <row r="448" ht="14.25" customHeight="1">
      <c r="A448" s="7"/>
      <c r="B448" s="7"/>
      <c r="C448" s="7"/>
      <c r="D448" s="7"/>
      <c r="E448" s="1">
        <f>IFERROR(VLOOKUP(B448,Namirnice!$B$4:$J$200,9,FALSE),0)</f>
        <v>0</v>
      </c>
      <c r="F448" s="1">
        <f t="shared" si="1"/>
        <v>0</v>
      </c>
    </row>
    <row r="449" ht="14.25" customHeight="1">
      <c r="A449" s="7"/>
      <c r="B449" s="7"/>
      <c r="C449" s="7"/>
      <c r="D449" s="7"/>
      <c r="E449" s="1">
        <f>IFERROR(VLOOKUP(B449,Namirnice!$B$4:$J$200,9,FALSE),0)</f>
        <v>0</v>
      </c>
      <c r="F449" s="1">
        <f t="shared" si="1"/>
        <v>0</v>
      </c>
    </row>
    <row r="450" ht="14.25" customHeight="1">
      <c r="A450" s="7"/>
      <c r="B450" s="7"/>
      <c r="C450" s="7"/>
      <c r="D450" s="7"/>
      <c r="E450" s="1">
        <f>IFERROR(VLOOKUP(B450,Namirnice!$B$4:$J$200,9,FALSE),0)</f>
        <v>0</v>
      </c>
      <c r="F450" s="1">
        <f t="shared" si="1"/>
        <v>0</v>
      </c>
    </row>
    <row r="451" ht="14.25" customHeight="1">
      <c r="A451" s="7"/>
      <c r="B451" s="7"/>
      <c r="C451" s="7"/>
      <c r="D451" s="7"/>
      <c r="E451" s="1">
        <f>IFERROR(VLOOKUP(B451,Namirnice!$B$4:$J$200,9,FALSE),0)</f>
        <v>0</v>
      </c>
      <c r="F451" s="1">
        <f t="shared" si="1"/>
        <v>0</v>
      </c>
    </row>
    <row r="452" ht="14.25" customHeight="1">
      <c r="A452" s="7"/>
      <c r="B452" s="7"/>
      <c r="C452" s="7"/>
      <c r="D452" s="7"/>
      <c r="E452" s="1">
        <f>IFERROR(VLOOKUP(B452,Namirnice!$B$4:$J$200,9,FALSE),0)</f>
        <v>0</v>
      </c>
      <c r="F452" s="1">
        <f t="shared" si="1"/>
        <v>0</v>
      </c>
    </row>
    <row r="453" ht="14.25" customHeight="1">
      <c r="A453" s="7"/>
      <c r="B453" s="7"/>
      <c r="C453" s="7"/>
      <c r="D453" s="7"/>
      <c r="E453" s="1">
        <f>IFERROR(VLOOKUP(B453,Namirnice!$B$4:$J$200,9,FALSE),0)</f>
        <v>0</v>
      </c>
      <c r="F453" s="1">
        <f t="shared" si="1"/>
        <v>0</v>
      </c>
    </row>
    <row r="454" ht="14.25" customHeight="1">
      <c r="A454" s="7"/>
      <c r="B454" s="7"/>
      <c r="C454" s="7"/>
      <c r="D454" s="7"/>
      <c r="E454" s="1">
        <f>IFERROR(VLOOKUP(B454,Namirnice!$B$4:$J$200,9,FALSE),0)</f>
        <v>0</v>
      </c>
      <c r="F454" s="1">
        <f t="shared" si="1"/>
        <v>0</v>
      </c>
    </row>
    <row r="455" ht="14.25" customHeight="1">
      <c r="A455" s="7"/>
      <c r="B455" s="7"/>
      <c r="C455" s="7"/>
      <c r="D455" s="7"/>
      <c r="E455" s="1">
        <f>IFERROR(VLOOKUP(B455,Namirnice!$B$4:$J$200,9,FALSE),0)</f>
        <v>0</v>
      </c>
      <c r="F455" s="1">
        <f t="shared" si="1"/>
        <v>0</v>
      </c>
    </row>
    <row r="456" ht="14.25" customHeight="1">
      <c r="A456" s="7"/>
      <c r="B456" s="7"/>
      <c r="C456" s="7"/>
      <c r="D456" s="7"/>
      <c r="E456" s="1">
        <f>IFERROR(VLOOKUP(B456,Namirnice!$B$4:$J$200,9,FALSE),0)</f>
        <v>0</v>
      </c>
      <c r="F456" s="1">
        <f t="shared" si="1"/>
        <v>0</v>
      </c>
    </row>
    <row r="457" ht="14.25" customHeight="1">
      <c r="A457" s="7"/>
      <c r="B457" s="7"/>
      <c r="C457" s="7"/>
      <c r="D457" s="7"/>
      <c r="E457" s="1">
        <f>IFERROR(VLOOKUP(B457,Namirnice!$B$4:$J$200,9,FALSE),0)</f>
        <v>0</v>
      </c>
      <c r="F457" s="1">
        <f t="shared" si="1"/>
        <v>0</v>
      </c>
    </row>
    <row r="458" ht="14.25" customHeight="1">
      <c r="A458" s="7"/>
      <c r="B458" s="7"/>
      <c r="C458" s="7"/>
      <c r="D458" s="7"/>
      <c r="E458" s="1">
        <f>IFERROR(VLOOKUP(B458,Namirnice!$B$4:$J$200,9,FALSE),0)</f>
        <v>0</v>
      </c>
      <c r="F458" s="1">
        <f t="shared" si="1"/>
        <v>0</v>
      </c>
    </row>
    <row r="459" ht="14.25" customHeight="1">
      <c r="A459" s="7"/>
      <c r="B459" s="7"/>
      <c r="C459" s="7"/>
      <c r="D459" s="7"/>
      <c r="E459" s="1">
        <f>IFERROR(VLOOKUP(B459,Namirnice!$B$4:$J$200,9,FALSE),0)</f>
        <v>0</v>
      </c>
      <c r="F459" s="1">
        <f t="shared" si="1"/>
        <v>0</v>
      </c>
    </row>
    <row r="460" ht="14.25" customHeight="1">
      <c r="A460" s="7"/>
      <c r="B460" s="7"/>
      <c r="C460" s="7"/>
      <c r="D460" s="7"/>
      <c r="E460" s="1">
        <f>IFERROR(VLOOKUP(B460,Namirnice!$B$4:$J$200,9,FALSE),0)</f>
        <v>0</v>
      </c>
      <c r="F460" s="1">
        <f t="shared" si="1"/>
        <v>0</v>
      </c>
    </row>
    <row r="461" ht="14.25" customHeight="1">
      <c r="A461" s="7"/>
      <c r="B461" s="7"/>
      <c r="C461" s="7"/>
      <c r="D461" s="7"/>
      <c r="E461" s="1">
        <f>IFERROR(VLOOKUP(B461,Namirnice!$B$4:$J$200,9,FALSE),0)</f>
        <v>0</v>
      </c>
      <c r="F461" s="1">
        <f t="shared" si="1"/>
        <v>0</v>
      </c>
    </row>
    <row r="462" ht="14.25" customHeight="1">
      <c r="A462" s="7"/>
      <c r="B462" s="7"/>
      <c r="C462" s="7"/>
      <c r="D462" s="7"/>
      <c r="E462" s="1">
        <f>IFERROR(VLOOKUP(B462,Namirnice!$B$4:$J$200,9,FALSE),0)</f>
        <v>0</v>
      </c>
      <c r="F462" s="1">
        <f t="shared" si="1"/>
        <v>0</v>
      </c>
    </row>
    <row r="463" ht="14.25" customHeight="1">
      <c r="A463" s="7"/>
      <c r="B463" s="7"/>
      <c r="C463" s="7"/>
      <c r="D463" s="7"/>
      <c r="E463" s="1">
        <f>IFERROR(VLOOKUP(B463,Namirnice!$B$4:$J$200,9,FALSE),0)</f>
        <v>0</v>
      </c>
      <c r="F463" s="1">
        <f t="shared" si="1"/>
        <v>0</v>
      </c>
    </row>
    <row r="464" ht="14.25" customHeight="1">
      <c r="A464" s="7"/>
      <c r="B464" s="7"/>
      <c r="C464" s="7"/>
      <c r="D464" s="7"/>
      <c r="E464" s="1">
        <f>IFERROR(VLOOKUP(B464,Namirnice!$B$4:$J$200,9,FALSE),0)</f>
        <v>0</v>
      </c>
      <c r="F464" s="1">
        <f t="shared" si="1"/>
        <v>0</v>
      </c>
    </row>
    <row r="465" ht="14.25" customHeight="1">
      <c r="A465" s="7"/>
      <c r="B465" s="7"/>
      <c r="C465" s="7"/>
      <c r="D465" s="7"/>
      <c r="E465" s="1">
        <f>IFERROR(VLOOKUP(B465,Namirnice!$B$4:$J$200,9,FALSE),0)</f>
        <v>0</v>
      </c>
      <c r="F465" s="1">
        <f t="shared" si="1"/>
        <v>0</v>
      </c>
    </row>
    <row r="466" ht="14.25" customHeight="1">
      <c r="A466" s="7"/>
      <c r="B466" s="7"/>
      <c r="C466" s="7"/>
      <c r="D466" s="7"/>
      <c r="E466" s="1">
        <f>IFERROR(VLOOKUP(B466,Namirnice!$B$4:$J$200,9,FALSE),0)</f>
        <v>0</v>
      </c>
      <c r="F466" s="1">
        <f t="shared" si="1"/>
        <v>0</v>
      </c>
    </row>
    <row r="467" ht="14.25" customHeight="1">
      <c r="A467" s="7"/>
      <c r="B467" s="7"/>
      <c r="C467" s="7"/>
      <c r="D467" s="7"/>
      <c r="E467" s="1">
        <f>IFERROR(VLOOKUP(B467,Namirnice!$B$4:$J$200,9,FALSE),0)</f>
        <v>0</v>
      </c>
      <c r="F467" s="1">
        <f t="shared" si="1"/>
        <v>0</v>
      </c>
    </row>
    <row r="468" ht="14.25" customHeight="1">
      <c r="A468" s="7"/>
      <c r="B468" s="7"/>
      <c r="C468" s="7"/>
      <c r="D468" s="7"/>
      <c r="E468" s="1">
        <f>IFERROR(VLOOKUP(B468,Namirnice!$B$4:$J$200,9,FALSE),0)</f>
        <v>0</v>
      </c>
      <c r="F468" s="1">
        <f t="shared" si="1"/>
        <v>0</v>
      </c>
    </row>
    <row r="469" ht="14.25" customHeight="1">
      <c r="A469" s="7"/>
      <c r="B469" s="7"/>
      <c r="C469" s="7"/>
      <c r="D469" s="7"/>
      <c r="E469" s="1">
        <f>IFERROR(VLOOKUP(B469,Namirnice!$B$4:$J$200,9,FALSE),0)</f>
        <v>0</v>
      </c>
      <c r="F469" s="1">
        <f t="shared" si="1"/>
        <v>0</v>
      </c>
    </row>
    <row r="470" ht="14.25" customHeight="1">
      <c r="A470" s="7"/>
      <c r="B470" s="7"/>
      <c r="C470" s="7"/>
      <c r="D470" s="7"/>
      <c r="E470" s="1">
        <f>IFERROR(VLOOKUP(B470,Namirnice!$B$4:$J$200,9,FALSE),0)</f>
        <v>0</v>
      </c>
      <c r="F470" s="1">
        <f t="shared" si="1"/>
        <v>0</v>
      </c>
    </row>
    <row r="471" ht="14.25" customHeight="1">
      <c r="A471" s="7"/>
      <c r="B471" s="7"/>
      <c r="C471" s="7"/>
      <c r="D471" s="7"/>
      <c r="E471" s="1">
        <f>IFERROR(VLOOKUP(B471,Namirnice!$B$4:$J$200,9,FALSE),0)</f>
        <v>0</v>
      </c>
      <c r="F471" s="1">
        <f t="shared" si="1"/>
        <v>0</v>
      </c>
    </row>
    <row r="472" ht="14.25" customHeight="1">
      <c r="A472" s="7"/>
      <c r="B472" s="7"/>
      <c r="C472" s="7"/>
      <c r="D472" s="7"/>
      <c r="E472" s="1">
        <f>IFERROR(VLOOKUP(B472,Namirnice!$B$4:$J$200,9,FALSE),0)</f>
        <v>0</v>
      </c>
      <c r="F472" s="1">
        <f t="shared" si="1"/>
        <v>0</v>
      </c>
    </row>
    <row r="473" ht="14.25" customHeight="1">
      <c r="A473" s="7"/>
      <c r="B473" s="7"/>
      <c r="C473" s="7"/>
      <c r="D473" s="7"/>
      <c r="E473" s="1">
        <f>IFERROR(VLOOKUP(B473,Namirnice!$B$4:$J$200,9,FALSE),0)</f>
        <v>0</v>
      </c>
      <c r="F473" s="1">
        <f t="shared" si="1"/>
        <v>0</v>
      </c>
    </row>
    <row r="474" ht="14.25" customHeight="1">
      <c r="A474" s="7"/>
      <c r="B474" s="7"/>
      <c r="C474" s="7"/>
      <c r="D474" s="7"/>
      <c r="E474" s="1">
        <f>IFERROR(VLOOKUP(B474,Namirnice!$B$4:$J$200,9,FALSE),0)</f>
        <v>0</v>
      </c>
      <c r="F474" s="1">
        <f t="shared" si="1"/>
        <v>0</v>
      </c>
    </row>
    <row r="475" ht="14.25" customHeight="1">
      <c r="A475" s="7"/>
      <c r="B475" s="7"/>
      <c r="C475" s="7"/>
      <c r="D475" s="7"/>
      <c r="E475" s="1">
        <f>IFERROR(VLOOKUP(B475,Namirnice!$B$4:$J$200,9,FALSE),0)</f>
        <v>0</v>
      </c>
      <c r="F475" s="1">
        <f t="shared" si="1"/>
        <v>0</v>
      </c>
    </row>
    <row r="476" ht="14.25" customHeight="1">
      <c r="A476" s="7"/>
      <c r="B476" s="7"/>
      <c r="C476" s="7"/>
      <c r="D476" s="7"/>
      <c r="E476" s="1">
        <f>IFERROR(VLOOKUP(B476,Namirnice!$B$4:$J$200,9,FALSE),0)</f>
        <v>0</v>
      </c>
      <c r="F476" s="1">
        <f t="shared" si="1"/>
        <v>0</v>
      </c>
    </row>
    <row r="477" ht="14.25" customHeight="1">
      <c r="A477" s="7"/>
      <c r="B477" s="7"/>
      <c r="C477" s="7"/>
      <c r="D477" s="7"/>
      <c r="E477" s="1">
        <f>IFERROR(VLOOKUP(B477,Namirnice!$B$4:$J$200,9,FALSE),0)</f>
        <v>0</v>
      </c>
      <c r="F477" s="1">
        <f t="shared" si="1"/>
        <v>0</v>
      </c>
    </row>
    <row r="478" ht="14.25" customHeight="1">
      <c r="A478" s="7"/>
      <c r="B478" s="7"/>
      <c r="C478" s="7"/>
      <c r="D478" s="7"/>
      <c r="E478" s="1">
        <f>IFERROR(VLOOKUP(B478,Namirnice!$B$4:$J$200,9,FALSE),0)</f>
        <v>0</v>
      </c>
      <c r="F478" s="1">
        <f t="shared" si="1"/>
        <v>0</v>
      </c>
    </row>
    <row r="479" ht="14.25" customHeight="1">
      <c r="A479" s="7"/>
      <c r="B479" s="7"/>
      <c r="C479" s="7"/>
      <c r="D479" s="7"/>
      <c r="E479" s="1">
        <f>IFERROR(VLOOKUP(B479,Namirnice!$B$4:$J$200,9,FALSE),0)</f>
        <v>0</v>
      </c>
      <c r="F479" s="1">
        <f t="shared" si="1"/>
        <v>0</v>
      </c>
    </row>
    <row r="480" ht="14.25" customHeight="1">
      <c r="A480" s="7"/>
      <c r="B480" s="7"/>
      <c r="C480" s="7"/>
      <c r="D480" s="7"/>
      <c r="E480" s="1">
        <f>IFERROR(VLOOKUP(B480,Namirnice!$B$4:$J$200,9,FALSE),0)</f>
        <v>0</v>
      </c>
      <c r="F480" s="1">
        <f t="shared" si="1"/>
        <v>0</v>
      </c>
    </row>
    <row r="481" ht="14.25" customHeight="1">
      <c r="A481" s="7"/>
      <c r="B481" s="7"/>
      <c r="C481" s="7"/>
      <c r="D481" s="7"/>
      <c r="E481" s="1">
        <f>IFERROR(VLOOKUP(B481,Namirnice!$B$4:$J$200,9,FALSE),0)</f>
        <v>0</v>
      </c>
      <c r="F481" s="1">
        <f t="shared" si="1"/>
        <v>0</v>
      </c>
    </row>
    <row r="482" ht="14.25" customHeight="1">
      <c r="A482" s="7"/>
      <c r="B482" s="7"/>
      <c r="C482" s="7"/>
      <c r="D482" s="7"/>
      <c r="E482" s="1">
        <f>IFERROR(VLOOKUP(B482,Namirnice!$B$4:$J$200,9,FALSE),0)</f>
        <v>0</v>
      </c>
      <c r="F482" s="1">
        <f t="shared" si="1"/>
        <v>0</v>
      </c>
    </row>
    <row r="483" ht="14.25" customHeight="1">
      <c r="A483" s="7"/>
      <c r="B483" s="7"/>
      <c r="C483" s="7"/>
      <c r="D483" s="7"/>
      <c r="E483" s="1">
        <f>IFERROR(VLOOKUP(B483,Namirnice!$B$4:$J$200,9,FALSE),0)</f>
        <v>0</v>
      </c>
      <c r="F483" s="1">
        <f t="shared" si="1"/>
        <v>0</v>
      </c>
    </row>
    <row r="484" ht="14.25" customHeight="1">
      <c r="A484" s="7"/>
      <c r="B484" s="7"/>
      <c r="C484" s="7"/>
      <c r="D484" s="7"/>
      <c r="E484" s="1">
        <f>IFERROR(VLOOKUP(B484,Namirnice!$B$4:$J$200,9,FALSE),0)</f>
        <v>0</v>
      </c>
      <c r="F484" s="1">
        <f t="shared" si="1"/>
        <v>0</v>
      </c>
    </row>
    <row r="485" ht="14.25" customHeight="1">
      <c r="A485" s="7"/>
      <c r="B485" s="7"/>
      <c r="C485" s="7"/>
      <c r="D485" s="7"/>
      <c r="E485" s="1">
        <f>IFERROR(VLOOKUP(B485,Namirnice!$B$4:$J$200,9,FALSE),0)</f>
        <v>0</v>
      </c>
      <c r="F485" s="1">
        <f t="shared" si="1"/>
        <v>0</v>
      </c>
    </row>
    <row r="486" ht="14.25" customHeight="1">
      <c r="A486" s="7"/>
      <c r="B486" s="7"/>
      <c r="C486" s="7"/>
      <c r="D486" s="7"/>
      <c r="E486" s="1">
        <f>IFERROR(VLOOKUP(B486,Namirnice!$B$4:$J$200,9,FALSE),0)</f>
        <v>0</v>
      </c>
      <c r="F486" s="1">
        <f t="shared" si="1"/>
        <v>0</v>
      </c>
    </row>
    <row r="487" ht="14.25" customHeight="1">
      <c r="A487" s="7"/>
      <c r="B487" s="7"/>
      <c r="C487" s="7"/>
      <c r="D487" s="7"/>
      <c r="E487" s="1">
        <f>IFERROR(VLOOKUP(B487,Namirnice!$B$4:$J$200,9,FALSE),0)</f>
        <v>0</v>
      </c>
      <c r="F487" s="1">
        <f t="shared" si="1"/>
        <v>0</v>
      </c>
    </row>
    <row r="488" ht="14.25" customHeight="1">
      <c r="A488" s="7"/>
      <c r="B488" s="7"/>
      <c r="C488" s="7"/>
      <c r="D488" s="7"/>
      <c r="E488" s="1">
        <f>IFERROR(VLOOKUP(B488,Namirnice!$B$4:$J$200,9,FALSE),0)</f>
        <v>0</v>
      </c>
      <c r="F488" s="1">
        <f t="shared" si="1"/>
        <v>0</v>
      </c>
    </row>
    <row r="489" ht="14.25" customHeight="1">
      <c r="A489" s="7"/>
      <c r="B489" s="7"/>
      <c r="C489" s="7"/>
      <c r="D489" s="7"/>
      <c r="E489" s="1">
        <f>IFERROR(VLOOKUP(B489,Namirnice!$B$4:$J$200,9,FALSE),0)</f>
        <v>0</v>
      </c>
      <c r="F489" s="1">
        <f t="shared" si="1"/>
        <v>0</v>
      </c>
    </row>
    <row r="490" ht="14.25" customHeight="1">
      <c r="A490" s="7"/>
      <c r="B490" s="7"/>
      <c r="C490" s="7"/>
      <c r="D490" s="7"/>
      <c r="E490" s="1">
        <f>IFERROR(VLOOKUP(B490,Namirnice!$B$4:$J$200,9,FALSE),0)</f>
        <v>0</v>
      </c>
      <c r="F490" s="1">
        <f t="shared" si="1"/>
        <v>0</v>
      </c>
    </row>
    <row r="491" ht="14.25" customHeight="1">
      <c r="A491" s="7"/>
      <c r="B491" s="7"/>
      <c r="C491" s="7"/>
      <c r="D491" s="7"/>
      <c r="E491" s="1">
        <f>IFERROR(VLOOKUP(B491,Namirnice!$B$4:$J$200,9,FALSE),0)</f>
        <v>0</v>
      </c>
      <c r="F491" s="1">
        <f t="shared" si="1"/>
        <v>0</v>
      </c>
    </row>
    <row r="492" ht="14.25" customHeight="1">
      <c r="A492" s="7"/>
      <c r="B492" s="7"/>
      <c r="C492" s="7"/>
      <c r="D492" s="7"/>
      <c r="E492" s="1">
        <f>IFERROR(VLOOKUP(B492,Namirnice!$B$4:$J$200,9,FALSE),0)</f>
        <v>0</v>
      </c>
      <c r="F492" s="1">
        <f t="shared" si="1"/>
        <v>0</v>
      </c>
    </row>
    <row r="493" ht="14.25" customHeight="1">
      <c r="A493" s="7"/>
      <c r="B493" s="7"/>
      <c r="C493" s="7"/>
      <c r="D493" s="7"/>
      <c r="E493" s="1">
        <f>IFERROR(VLOOKUP(B493,Namirnice!$B$4:$J$200,9,FALSE),0)</f>
        <v>0</v>
      </c>
      <c r="F493" s="1">
        <f t="shared" si="1"/>
        <v>0</v>
      </c>
    </row>
    <row r="494" ht="14.25" customHeight="1">
      <c r="A494" s="7"/>
      <c r="B494" s="7"/>
      <c r="C494" s="7"/>
      <c r="D494" s="7"/>
      <c r="E494" s="1">
        <f>IFERROR(VLOOKUP(B494,Namirnice!$B$4:$J$200,9,FALSE),0)</f>
        <v>0</v>
      </c>
      <c r="F494" s="1">
        <f t="shared" si="1"/>
        <v>0</v>
      </c>
    </row>
    <row r="495" ht="14.25" customHeight="1">
      <c r="A495" s="7"/>
      <c r="B495" s="7"/>
      <c r="C495" s="7"/>
      <c r="D495" s="7"/>
      <c r="E495" s="1">
        <f>IFERROR(VLOOKUP(B495,Namirnice!$B$4:$J$200,9,FALSE),0)</f>
        <v>0</v>
      </c>
      <c r="F495" s="1">
        <f t="shared" si="1"/>
        <v>0</v>
      </c>
    </row>
    <row r="496" ht="14.25" customHeight="1">
      <c r="A496" s="7"/>
      <c r="B496" s="7"/>
      <c r="C496" s="7"/>
      <c r="D496" s="7"/>
      <c r="E496" s="1">
        <f>IFERROR(VLOOKUP(B496,Namirnice!$B$4:$J$200,9,FALSE),0)</f>
        <v>0</v>
      </c>
      <c r="F496" s="1">
        <f t="shared" si="1"/>
        <v>0</v>
      </c>
    </row>
    <row r="497" ht="14.25" customHeight="1">
      <c r="A497" s="7"/>
      <c r="B497" s="7"/>
      <c r="C497" s="7"/>
      <c r="D497" s="7"/>
      <c r="E497" s="1">
        <f>IFERROR(VLOOKUP(B497,Namirnice!$B$4:$J$200,9,FALSE),0)</f>
        <v>0</v>
      </c>
      <c r="F497" s="1">
        <f t="shared" si="1"/>
        <v>0</v>
      </c>
    </row>
    <row r="498" ht="14.25" customHeight="1">
      <c r="A498" s="7"/>
      <c r="B498" s="7"/>
      <c r="C498" s="7"/>
      <c r="D498" s="7"/>
      <c r="E498" s="1">
        <f>IFERROR(VLOOKUP(B498,Namirnice!$B$4:$J$200,9,FALSE),0)</f>
        <v>0</v>
      </c>
      <c r="F498" s="1">
        <f t="shared" si="1"/>
        <v>0</v>
      </c>
    </row>
    <row r="499" ht="14.25" customHeight="1">
      <c r="A499" s="7"/>
      <c r="B499" s="7"/>
      <c r="C499" s="7"/>
      <c r="D499" s="7"/>
      <c r="E499" s="1">
        <f>IFERROR(VLOOKUP(B499,Namirnice!$B$4:$J$200,9,FALSE),0)</f>
        <v>0</v>
      </c>
      <c r="F499" s="1">
        <f t="shared" si="1"/>
        <v>0</v>
      </c>
    </row>
    <row r="500" ht="14.25" customHeight="1">
      <c r="A500" s="7"/>
      <c r="B500" s="7"/>
      <c r="C500" s="7"/>
      <c r="D500" s="7"/>
      <c r="E500" s="1">
        <f>IFERROR(VLOOKUP(B500,Namirnice!$B$4:$J$200,9,FALSE),0)</f>
        <v>0</v>
      </c>
      <c r="F500" s="1">
        <f t="shared" si="1"/>
        <v>0</v>
      </c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dataValidations>
    <dataValidation type="list" allowBlank="1" sqref="B4:B500">
      <formula1>Namirnice!$B$4:$B$200</formula1>
    </dataValidation>
    <dataValidation type="list" allowBlank="1" sqref="D4:D500">
      <formula1>Liste!$C$2:$C$4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0.0"/>
    <col customWidth="1" min="3" max="12" width="16.0"/>
    <col customWidth="1" min="13" max="26" width="8.63"/>
  </cols>
  <sheetData>
    <row r="1" ht="14.25" customHeight="1">
      <c r="A1" s="2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/>
    <row r="3" ht="14.25" customHeight="1">
      <c r="A3" s="5" t="s">
        <v>108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48</v>
      </c>
      <c r="G3" s="5" t="s">
        <v>117</v>
      </c>
      <c r="H3" s="5" t="s">
        <v>118</v>
      </c>
      <c r="I3" s="5" t="s">
        <v>119</v>
      </c>
      <c r="J3" s="5" t="s">
        <v>120</v>
      </c>
      <c r="K3" s="5" t="s">
        <v>121</v>
      </c>
      <c r="L3" s="5" t="s">
        <v>122</v>
      </c>
    </row>
    <row r="4" ht="14.25" customHeight="1">
      <c r="A4" s="7" t="s">
        <v>111</v>
      </c>
      <c r="B4" s="7">
        <v>12.0</v>
      </c>
      <c r="C4" s="1">
        <f>SUMIF(Recepture!$A$4:$A$500,A4,Recepture!$F$4:$F$500)</f>
        <v>18.11</v>
      </c>
      <c r="D4" s="7">
        <v>90.0</v>
      </c>
      <c r="E4" s="1">
        <f>D4/60*Podesavanja!$B$7</f>
        <v>12</v>
      </c>
      <c r="F4" s="1">
        <f>(C4+E4)*Podesavanja!$B$8</f>
        <v>1.5055</v>
      </c>
      <c r="G4" s="1">
        <f>(C4+E4+F4)*Podesavanja!$B$24</f>
        <v>19.55297077</v>
      </c>
      <c r="H4" s="1">
        <f t="shared" ref="H4:H200" si="1">C4+E4+F4</f>
        <v>31.6155</v>
      </c>
      <c r="I4" s="1">
        <f t="shared" ref="I4:I200" si="2">IFERROR(H4/B4,0)</f>
        <v>2.634625</v>
      </c>
      <c r="J4" s="7">
        <v>0.0</v>
      </c>
      <c r="K4" s="1">
        <f t="shared" ref="K4:K200" si="3">J4-I4</f>
        <v>-2.634625</v>
      </c>
      <c r="L4" s="1">
        <f t="shared" ref="L4:L200" si="4">IFERROR(K4/J4,0)</f>
        <v>0</v>
      </c>
    </row>
    <row r="5" ht="14.25" customHeight="1">
      <c r="A5" s="7" t="s">
        <v>112</v>
      </c>
      <c r="B5" s="7">
        <v>1.0</v>
      </c>
      <c r="C5" s="1">
        <f>SUMIF(Recepture!$A$4:$A$500,A5,Recepture!$F$4:$F$500)</f>
        <v>3.12</v>
      </c>
      <c r="D5" s="7">
        <v>15.0</v>
      </c>
      <c r="E5" s="1">
        <f>D5/60*Podesavanja!$B$7</f>
        <v>2</v>
      </c>
      <c r="F5" s="1">
        <f>(C5+E5)*Podesavanja!$B$8</f>
        <v>0.256</v>
      </c>
      <c r="G5" s="1">
        <f>(C5+E5+F5)*Podesavanja!$B$24</f>
        <v>3.324849231</v>
      </c>
      <c r="H5" s="1">
        <f t="shared" si="1"/>
        <v>5.376</v>
      </c>
      <c r="I5" s="1">
        <f t="shared" si="2"/>
        <v>5.376</v>
      </c>
      <c r="J5" s="7">
        <v>0.0</v>
      </c>
      <c r="K5" s="1">
        <f t="shared" si="3"/>
        <v>-5.376</v>
      </c>
      <c r="L5" s="1">
        <f t="shared" si="4"/>
        <v>0</v>
      </c>
    </row>
    <row r="6" ht="14.25" customHeight="1">
      <c r="A6" s="7"/>
      <c r="B6" s="7"/>
      <c r="C6" s="1">
        <f>SUMIF(Recepture!$A$4:$A$500,A6,Recepture!$F$4:$F$500)</f>
        <v>0</v>
      </c>
      <c r="D6" s="7"/>
      <c r="E6" s="1">
        <f>D6/60*Podesavanja!$B$7</f>
        <v>0</v>
      </c>
      <c r="F6" s="1">
        <f>(C6+E6)*Podesavanja!$B$8</f>
        <v>0</v>
      </c>
      <c r="G6" s="1">
        <f>(C6+E6+F6)*Podesavanja!$B$24</f>
        <v>0</v>
      </c>
      <c r="H6" s="1">
        <f t="shared" si="1"/>
        <v>0</v>
      </c>
      <c r="I6" s="1">
        <f t="shared" si="2"/>
        <v>0</v>
      </c>
      <c r="J6" s="7"/>
      <c r="K6" s="1">
        <f t="shared" si="3"/>
        <v>0</v>
      </c>
      <c r="L6" s="1">
        <f t="shared" si="4"/>
        <v>0</v>
      </c>
    </row>
    <row r="7" ht="14.25" customHeight="1">
      <c r="A7" s="7"/>
      <c r="B7" s="7"/>
      <c r="C7" s="1">
        <f>SUMIF(Recepture!$A$4:$A$500,A7,Recepture!$F$4:$F$500)</f>
        <v>0</v>
      </c>
      <c r="D7" s="7"/>
      <c r="E7" s="1">
        <f>D7/60*Podesavanja!$B$7</f>
        <v>0</v>
      </c>
      <c r="F7" s="1">
        <f>(C7+E7)*Podesavanja!$B$8</f>
        <v>0</v>
      </c>
      <c r="G7" s="1">
        <f>(C7+E7+F7)*Podesavanja!$B$24</f>
        <v>0</v>
      </c>
      <c r="H7" s="1">
        <f t="shared" si="1"/>
        <v>0</v>
      </c>
      <c r="I7" s="1">
        <f t="shared" si="2"/>
        <v>0</v>
      </c>
      <c r="J7" s="7"/>
      <c r="K7" s="1">
        <f t="shared" si="3"/>
        <v>0</v>
      </c>
      <c r="L7" s="1">
        <f t="shared" si="4"/>
        <v>0</v>
      </c>
    </row>
    <row r="8" ht="14.25" customHeight="1">
      <c r="A8" s="7"/>
      <c r="B8" s="7"/>
      <c r="C8" s="1">
        <f>SUMIF(Recepture!$A$4:$A$500,A8,Recepture!$F$4:$F$500)</f>
        <v>0</v>
      </c>
      <c r="D8" s="7"/>
      <c r="E8" s="1">
        <f>D8/60*Podesavanja!$B$7</f>
        <v>0</v>
      </c>
      <c r="F8" s="1">
        <f>(C8+E8)*Podesavanja!$B$8</f>
        <v>0</v>
      </c>
      <c r="G8" s="1">
        <f>(C8+E8+F8)*Podesavanja!$B$24</f>
        <v>0</v>
      </c>
      <c r="H8" s="1">
        <f t="shared" si="1"/>
        <v>0</v>
      </c>
      <c r="I8" s="1">
        <f t="shared" si="2"/>
        <v>0</v>
      </c>
      <c r="J8" s="7"/>
      <c r="K8" s="1">
        <f t="shared" si="3"/>
        <v>0</v>
      </c>
      <c r="L8" s="1">
        <f t="shared" si="4"/>
        <v>0</v>
      </c>
    </row>
    <row r="9" ht="14.25" customHeight="1">
      <c r="A9" s="7"/>
      <c r="B9" s="7"/>
      <c r="C9" s="1">
        <f>SUMIF(Recepture!$A$4:$A$500,A9,Recepture!$F$4:$F$500)</f>
        <v>0</v>
      </c>
      <c r="D9" s="7"/>
      <c r="E9" s="1">
        <f>D9/60*Podesavanja!$B$7</f>
        <v>0</v>
      </c>
      <c r="F9" s="1">
        <f>(C9+E9)*Podesavanja!$B$8</f>
        <v>0</v>
      </c>
      <c r="G9" s="1">
        <f>(C9+E9+F9)*Podesavanja!$B$24</f>
        <v>0</v>
      </c>
      <c r="H9" s="1">
        <f t="shared" si="1"/>
        <v>0</v>
      </c>
      <c r="I9" s="1">
        <f t="shared" si="2"/>
        <v>0</v>
      </c>
      <c r="J9" s="7"/>
      <c r="K9" s="1">
        <f t="shared" si="3"/>
        <v>0</v>
      </c>
      <c r="L9" s="1">
        <f t="shared" si="4"/>
        <v>0</v>
      </c>
    </row>
    <row r="10" ht="14.25" customHeight="1">
      <c r="A10" s="7"/>
      <c r="B10" s="7"/>
      <c r="C10" s="1">
        <f>SUMIF(Recepture!$A$4:$A$500,A10,Recepture!$F$4:$F$500)</f>
        <v>0</v>
      </c>
      <c r="D10" s="7"/>
      <c r="E10" s="1">
        <f>D10/60*Podesavanja!$B$7</f>
        <v>0</v>
      </c>
      <c r="F10" s="1">
        <f>(C10+E10)*Podesavanja!$B$8</f>
        <v>0</v>
      </c>
      <c r="G10" s="1">
        <f>(C10+E10+F10)*Podesavanja!$B$24</f>
        <v>0</v>
      </c>
      <c r="H10" s="1">
        <f t="shared" si="1"/>
        <v>0</v>
      </c>
      <c r="I10" s="1">
        <f t="shared" si="2"/>
        <v>0</v>
      </c>
      <c r="J10" s="7"/>
      <c r="K10" s="1">
        <f t="shared" si="3"/>
        <v>0</v>
      </c>
      <c r="L10" s="1">
        <f t="shared" si="4"/>
        <v>0</v>
      </c>
    </row>
    <row r="11" ht="14.25" customHeight="1">
      <c r="A11" s="7"/>
      <c r="B11" s="7"/>
      <c r="C11" s="1">
        <f>SUMIF(Recepture!$A$4:$A$500,A11,Recepture!$F$4:$F$500)</f>
        <v>0</v>
      </c>
      <c r="D11" s="7"/>
      <c r="E11" s="1">
        <f>D11/60*Podesavanja!$B$7</f>
        <v>0</v>
      </c>
      <c r="F11" s="1">
        <f>(C11+E11)*Podesavanja!$B$8</f>
        <v>0</v>
      </c>
      <c r="G11" s="1">
        <f>(C11+E11+F11)*Podesavanja!$B$24</f>
        <v>0</v>
      </c>
      <c r="H11" s="1">
        <f t="shared" si="1"/>
        <v>0</v>
      </c>
      <c r="I11" s="1">
        <f t="shared" si="2"/>
        <v>0</v>
      </c>
      <c r="J11" s="7"/>
      <c r="K11" s="1">
        <f t="shared" si="3"/>
        <v>0</v>
      </c>
      <c r="L11" s="1">
        <f t="shared" si="4"/>
        <v>0</v>
      </c>
    </row>
    <row r="12" ht="14.25" customHeight="1">
      <c r="A12" s="7"/>
      <c r="B12" s="7"/>
      <c r="C12" s="1">
        <f>SUMIF(Recepture!$A$4:$A$500,A12,Recepture!$F$4:$F$500)</f>
        <v>0</v>
      </c>
      <c r="D12" s="7"/>
      <c r="E12" s="1">
        <f>D12/60*Podesavanja!$B$7</f>
        <v>0</v>
      </c>
      <c r="F12" s="1">
        <f>(C12+E12)*Podesavanja!$B$8</f>
        <v>0</v>
      </c>
      <c r="G12" s="1">
        <f>(C12+E12+F12)*Podesavanja!$B$24</f>
        <v>0</v>
      </c>
      <c r="H12" s="1">
        <f t="shared" si="1"/>
        <v>0</v>
      </c>
      <c r="I12" s="1">
        <f t="shared" si="2"/>
        <v>0</v>
      </c>
      <c r="J12" s="7"/>
      <c r="K12" s="1">
        <f t="shared" si="3"/>
        <v>0</v>
      </c>
      <c r="L12" s="1">
        <f t="shared" si="4"/>
        <v>0</v>
      </c>
    </row>
    <row r="13" ht="14.25" customHeight="1">
      <c r="A13" s="7"/>
      <c r="B13" s="7"/>
      <c r="C13" s="1">
        <f>SUMIF(Recepture!$A$4:$A$500,A13,Recepture!$F$4:$F$500)</f>
        <v>0</v>
      </c>
      <c r="D13" s="7"/>
      <c r="E13" s="1">
        <f>D13/60*Podesavanja!$B$7</f>
        <v>0</v>
      </c>
      <c r="F13" s="1">
        <f>(C13+E13)*Podesavanja!$B$8</f>
        <v>0</v>
      </c>
      <c r="G13" s="1">
        <f>(C13+E13+F13)*Podesavanja!$B$24</f>
        <v>0</v>
      </c>
      <c r="H13" s="1">
        <f t="shared" si="1"/>
        <v>0</v>
      </c>
      <c r="I13" s="1">
        <f t="shared" si="2"/>
        <v>0</v>
      </c>
      <c r="J13" s="7"/>
      <c r="K13" s="1">
        <f t="shared" si="3"/>
        <v>0</v>
      </c>
      <c r="L13" s="1">
        <f t="shared" si="4"/>
        <v>0</v>
      </c>
    </row>
    <row r="14" ht="14.25" customHeight="1">
      <c r="A14" s="7"/>
      <c r="B14" s="7"/>
      <c r="C14" s="1">
        <f>SUMIF(Recepture!$A$4:$A$500,A14,Recepture!$F$4:$F$500)</f>
        <v>0</v>
      </c>
      <c r="D14" s="7"/>
      <c r="E14" s="1">
        <f>D14/60*Podesavanja!$B$7</f>
        <v>0</v>
      </c>
      <c r="F14" s="1">
        <f>(C14+E14)*Podesavanja!$B$8</f>
        <v>0</v>
      </c>
      <c r="G14" s="1">
        <f>(C14+E14+F14)*Podesavanja!$B$24</f>
        <v>0</v>
      </c>
      <c r="H14" s="1">
        <f t="shared" si="1"/>
        <v>0</v>
      </c>
      <c r="I14" s="1">
        <f t="shared" si="2"/>
        <v>0</v>
      </c>
      <c r="J14" s="7"/>
      <c r="K14" s="1">
        <f t="shared" si="3"/>
        <v>0</v>
      </c>
      <c r="L14" s="1">
        <f t="shared" si="4"/>
        <v>0</v>
      </c>
    </row>
    <row r="15" ht="14.25" customHeight="1">
      <c r="A15" s="7"/>
      <c r="B15" s="7"/>
      <c r="C15" s="1">
        <f>SUMIF(Recepture!$A$4:$A$500,A15,Recepture!$F$4:$F$500)</f>
        <v>0</v>
      </c>
      <c r="D15" s="7"/>
      <c r="E15" s="1">
        <f>D15/60*Podesavanja!$B$7</f>
        <v>0</v>
      </c>
      <c r="F15" s="1">
        <f>(C15+E15)*Podesavanja!$B$8</f>
        <v>0</v>
      </c>
      <c r="G15" s="1">
        <f>(C15+E15+F15)*Podesavanja!$B$24</f>
        <v>0</v>
      </c>
      <c r="H15" s="1">
        <f t="shared" si="1"/>
        <v>0</v>
      </c>
      <c r="I15" s="1">
        <f t="shared" si="2"/>
        <v>0</v>
      </c>
      <c r="J15" s="7"/>
      <c r="K15" s="1">
        <f t="shared" si="3"/>
        <v>0</v>
      </c>
      <c r="L15" s="1">
        <f t="shared" si="4"/>
        <v>0</v>
      </c>
    </row>
    <row r="16" ht="14.25" customHeight="1">
      <c r="A16" s="7"/>
      <c r="B16" s="7"/>
      <c r="C16" s="1">
        <f>SUMIF(Recepture!$A$4:$A$500,A16,Recepture!$F$4:$F$500)</f>
        <v>0</v>
      </c>
      <c r="D16" s="7"/>
      <c r="E16" s="1">
        <f>D16/60*Podesavanja!$B$7</f>
        <v>0</v>
      </c>
      <c r="F16" s="1">
        <f>(C16+E16)*Podesavanja!$B$8</f>
        <v>0</v>
      </c>
      <c r="G16" s="1">
        <f>(C16+E16+F16)*Podesavanja!$B$24</f>
        <v>0</v>
      </c>
      <c r="H16" s="1">
        <f t="shared" si="1"/>
        <v>0</v>
      </c>
      <c r="I16" s="1">
        <f t="shared" si="2"/>
        <v>0</v>
      </c>
      <c r="J16" s="7"/>
      <c r="K16" s="1">
        <f t="shared" si="3"/>
        <v>0</v>
      </c>
      <c r="L16" s="1">
        <f t="shared" si="4"/>
        <v>0</v>
      </c>
    </row>
    <row r="17" ht="14.25" customHeight="1">
      <c r="A17" s="7"/>
      <c r="B17" s="7"/>
      <c r="C17" s="1">
        <f>SUMIF(Recepture!$A$4:$A$500,A17,Recepture!$F$4:$F$500)</f>
        <v>0</v>
      </c>
      <c r="D17" s="7"/>
      <c r="E17" s="1">
        <f>D17/60*Podesavanja!$B$7</f>
        <v>0</v>
      </c>
      <c r="F17" s="1">
        <f>(C17+E17)*Podesavanja!$B$8</f>
        <v>0</v>
      </c>
      <c r="G17" s="1">
        <f>(C17+E17+F17)*Podesavanja!$B$24</f>
        <v>0</v>
      </c>
      <c r="H17" s="1">
        <f t="shared" si="1"/>
        <v>0</v>
      </c>
      <c r="I17" s="1">
        <f t="shared" si="2"/>
        <v>0</v>
      </c>
      <c r="J17" s="7"/>
      <c r="K17" s="1">
        <f t="shared" si="3"/>
        <v>0</v>
      </c>
      <c r="L17" s="1">
        <f t="shared" si="4"/>
        <v>0</v>
      </c>
    </row>
    <row r="18" ht="14.25" customHeight="1">
      <c r="A18" s="7"/>
      <c r="B18" s="7"/>
      <c r="C18" s="1">
        <f>SUMIF(Recepture!$A$4:$A$500,A18,Recepture!$F$4:$F$500)</f>
        <v>0</v>
      </c>
      <c r="D18" s="7"/>
      <c r="E18" s="1">
        <f>D18/60*Podesavanja!$B$7</f>
        <v>0</v>
      </c>
      <c r="F18" s="1">
        <f>(C18+E18)*Podesavanja!$B$8</f>
        <v>0</v>
      </c>
      <c r="G18" s="1">
        <f>(C18+E18+F18)*Podesavanja!$B$24</f>
        <v>0</v>
      </c>
      <c r="H18" s="1">
        <f t="shared" si="1"/>
        <v>0</v>
      </c>
      <c r="I18" s="1">
        <f t="shared" si="2"/>
        <v>0</v>
      </c>
      <c r="J18" s="7"/>
      <c r="K18" s="1">
        <f t="shared" si="3"/>
        <v>0</v>
      </c>
      <c r="L18" s="1">
        <f t="shared" si="4"/>
        <v>0</v>
      </c>
    </row>
    <row r="19" ht="14.25" customHeight="1">
      <c r="A19" s="7"/>
      <c r="B19" s="7"/>
      <c r="C19" s="1">
        <f>SUMIF(Recepture!$A$4:$A$500,A19,Recepture!$F$4:$F$500)</f>
        <v>0</v>
      </c>
      <c r="D19" s="7"/>
      <c r="E19" s="1">
        <f>D19/60*Podesavanja!$B$7</f>
        <v>0</v>
      </c>
      <c r="F19" s="1">
        <f>(C19+E19)*Podesavanja!$B$8</f>
        <v>0</v>
      </c>
      <c r="G19" s="1">
        <f>(C19+E19+F19)*Podesavanja!$B$24</f>
        <v>0</v>
      </c>
      <c r="H19" s="1">
        <f t="shared" si="1"/>
        <v>0</v>
      </c>
      <c r="I19" s="1">
        <f t="shared" si="2"/>
        <v>0</v>
      </c>
      <c r="J19" s="7"/>
      <c r="K19" s="1">
        <f t="shared" si="3"/>
        <v>0</v>
      </c>
      <c r="L19" s="1">
        <f t="shared" si="4"/>
        <v>0</v>
      </c>
    </row>
    <row r="20" ht="14.25" customHeight="1">
      <c r="A20" s="7"/>
      <c r="B20" s="7"/>
      <c r="C20" s="1">
        <f>SUMIF(Recepture!$A$4:$A$500,A20,Recepture!$F$4:$F$500)</f>
        <v>0</v>
      </c>
      <c r="D20" s="7"/>
      <c r="E20" s="1">
        <f>D20/60*Podesavanja!$B$7</f>
        <v>0</v>
      </c>
      <c r="F20" s="1">
        <f>(C20+E20)*Podesavanja!$B$8</f>
        <v>0</v>
      </c>
      <c r="G20" s="1">
        <f>(C20+E20+F20)*Podesavanja!$B$24</f>
        <v>0</v>
      </c>
      <c r="H20" s="1">
        <f t="shared" si="1"/>
        <v>0</v>
      </c>
      <c r="I20" s="1">
        <f t="shared" si="2"/>
        <v>0</v>
      </c>
      <c r="J20" s="7"/>
      <c r="K20" s="1">
        <f t="shared" si="3"/>
        <v>0</v>
      </c>
      <c r="L20" s="1">
        <f t="shared" si="4"/>
        <v>0</v>
      </c>
    </row>
    <row r="21" ht="14.25" customHeight="1">
      <c r="A21" s="7"/>
      <c r="B21" s="7"/>
      <c r="C21" s="1">
        <f>SUMIF(Recepture!$A$4:$A$500,A21,Recepture!$F$4:$F$500)</f>
        <v>0</v>
      </c>
      <c r="D21" s="7"/>
      <c r="E21" s="1">
        <f>D21/60*Podesavanja!$B$7</f>
        <v>0</v>
      </c>
      <c r="F21" s="1">
        <f>(C21+E21)*Podesavanja!$B$8</f>
        <v>0</v>
      </c>
      <c r="G21" s="1">
        <f>(C21+E21+F21)*Podesavanja!$B$24</f>
        <v>0</v>
      </c>
      <c r="H21" s="1">
        <f t="shared" si="1"/>
        <v>0</v>
      </c>
      <c r="I21" s="1">
        <f t="shared" si="2"/>
        <v>0</v>
      </c>
      <c r="J21" s="7"/>
      <c r="K21" s="1">
        <f t="shared" si="3"/>
        <v>0</v>
      </c>
      <c r="L21" s="1">
        <f t="shared" si="4"/>
        <v>0</v>
      </c>
    </row>
    <row r="22" ht="14.25" customHeight="1">
      <c r="A22" s="7"/>
      <c r="B22" s="7"/>
      <c r="C22" s="1">
        <f>SUMIF(Recepture!$A$4:$A$500,A22,Recepture!$F$4:$F$500)</f>
        <v>0</v>
      </c>
      <c r="D22" s="7"/>
      <c r="E22" s="1">
        <f>D22/60*Podesavanja!$B$7</f>
        <v>0</v>
      </c>
      <c r="F22" s="1">
        <f>(C22+E22)*Podesavanja!$B$8</f>
        <v>0</v>
      </c>
      <c r="G22" s="1">
        <f>(C22+E22+F22)*Podesavanja!$B$24</f>
        <v>0</v>
      </c>
      <c r="H22" s="1">
        <f t="shared" si="1"/>
        <v>0</v>
      </c>
      <c r="I22" s="1">
        <f t="shared" si="2"/>
        <v>0</v>
      </c>
      <c r="J22" s="7"/>
      <c r="K22" s="1">
        <f t="shared" si="3"/>
        <v>0</v>
      </c>
      <c r="L22" s="1">
        <f t="shared" si="4"/>
        <v>0</v>
      </c>
    </row>
    <row r="23" ht="14.25" customHeight="1">
      <c r="A23" s="7"/>
      <c r="B23" s="7"/>
      <c r="C23" s="1">
        <f>SUMIF(Recepture!$A$4:$A$500,A23,Recepture!$F$4:$F$500)</f>
        <v>0</v>
      </c>
      <c r="D23" s="7"/>
      <c r="E23" s="1">
        <f>D23/60*Podesavanja!$B$7</f>
        <v>0</v>
      </c>
      <c r="F23" s="1">
        <f>(C23+E23)*Podesavanja!$B$8</f>
        <v>0</v>
      </c>
      <c r="G23" s="1">
        <f>(C23+E23+F23)*Podesavanja!$B$24</f>
        <v>0</v>
      </c>
      <c r="H23" s="1">
        <f t="shared" si="1"/>
        <v>0</v>
      </c>
      <c r="I23" s="1">
        <f t="shared" si="2"/>
        <v>0</v>
      </c>
      <c r="J23" s="7"/>
      <c r="K23" s="1">
        <f t="shared" si="3"/>
        <v>0</v>
      </c>
      <c r="L23" s="1">
        <f t="shared" si="4"/>
        <v>0</v>
      </c>
    </row>
    <row r="24" ht="14.25" customHeight="1">
      <c r="A24" s="7"/>
      <c r="B24" s="7"/>
      <c r="C24" s="1">
        <f>SUMIF(Recepture!$A$4:$A$500,A24,Recepture!$F$4:$F$500)</f>
        <v>0</v>
      </c>
      <c r="D24" s="7"/>
      <c r="E24" s="1">
        <f>D24/60*Podesavanja!$B$7</f>
        <v>0</v>
      </c>
      <c r="F24" s="1">
        <f>(C24+E24)*Podesavanja!$B$8</f>
        <v>0</v>
      </c>
      <c r="G24" s="1">
        <f>(C24+E24+F24)*Podesavanja!$B$24</f>
        <v>0</v>
      </c>
      <c r="H24" s="1">
        <f t="shared" si="1"/>
        <v>0</v>
      </c>
      <c r="I24" s="1">
        <f t="shared" si="2"/>
        <v>0</v>
      </c>
      <c r="J24" s="7"/>
      <c r="K24" s="1">
        <f t="shared" si="3"/>
        <v>0</v>
      </c>
      <c r="L24" s="1">
        <f t="shared" si="4"/>
        <v>0</v>
      </c>
    </row>
    <row r="25" ht="14.25" customHeight="1">
      <c r="A25" s="7"/>
      <c r="B25" s="7"/>
      <c r="C25" s="1">
        <f>SUMIF(Recepture!$A$4:$A$500,A25,Recepture!$F$4:$F$500)</f>
        <v>0</v>
      </c>
      <c r="D25" s="7"/>
      <c r="E25" s="1">
        <f>D25/60*Podesavanja!$B$7</f>
        <v>0</v>
      </c>
      <c r="F25" s="1">
        <f>(C25+E25)*Podesavanja!$B$8</f>
        <v>0</v>
      </c>
      <c r="G25" s="1">
        <f>(C25+E25+F25)*Podesavanja!$B$24</f>
        <v>0</v>
      </c>
      <c r="H25" s="1">
        <f t="shared" si="1"/>
        <v>0</v>
      </c>
      <c r="I25" s="1">
        <f t="shared" si="2"/>
        <v>0</v>
      </c>
      <c r="J25" s="7"/>
      <c r="K25" s="1">
        <f t="shared" si="3"/>
        <v>0</v>
      </c>
      <c r="L25" s="1">
        <f t="shared" si="4"/>
        <v>0</v>
      </c>
    </row>
    <row r="26" ht="14.25" customHeight="1">
      <c r="A26" s="7"/>
      <c r="B26" s="7"/>
      <c r="C26" s="1">
        <f>SUMIF(Recepture!$A$4:$A$500,A26,Recepture!$F$4:$F$500)</f>
        <v>0</v>
      </c>
      <c r="D26" s="7"/>
      <c r="E26" s="1">
        <f>D26/60*Podesavanja!$B$7</f>
        <v>0</v>
      </c>
      <c r="F26" s="1">
        <f>(C26+E26)*Podesavanja!$B$8</f>
        <v>0</v>
      </c>
      <c r="G26" s="1">
        <f>(C26+E26+F26)*Podesavanja!$B$24</f>
        <v>0</v>
      </c>
      <c r="H26" s="1">
        <f t="shared" si="1"/>
        <v>0</v>
      </c>
      <c r="I26" s="1">
        <f t="shared" si="2"/>
        <v>0</v>
      </c>
      <c r="J26" s="7"/>
      <c r="K26" s="1">
        <f t="shared" si="3"/>
        <v>0</v>
      </c>
      <c r="L26" s="1">
        <f t="shared" si="4"/>
        <v>0</v>
      </c>
    </row>
    <row r="27" ht="14.25" customHeight="1">
      <c r="A27" s="7"/>
      <c r="B27" s="7"/>
      <c r="C27" s="1">
        <f>SUMIF(Recepture!$A$4:$A$500,A27,Recepture!$F$4:$F$500)</f>
        <v>0</v>
      </c>
      <c r="D27" s="7"/>
      <c r="E27" s="1">
        <f>D27/60*Podesavanja!$B$7</f>
        <v>0</v>
      </c>
      <c r="F27" s="1">
        <f>(C27+E27)*Podesavanja!$B$8</f>
        <v>0</v>
      </c>
      <c r="G27" s="1">
        <f>(C27+E27+F27)*Podesavanja!$B$24</f>
        <v>0</v>
      </c>
      <c r="H27" s="1">
        <f t="shared" si="1"/>
        <v>0</v>
      </c>
      <c r="I27" s="1">
        <f t="shared" si="2"/>
        <v>0</v>
      </c>
      <c r="J27" s="7"/>
      <c r="K27" s="1">
        <f t="shared" si="3"/>
        <v>0</v>
      </c>
      <c r="L27" s="1">
        <f t="shared" si="4"/>
        <v>0</v>
      </c>
    </row>
    <row r="28" ht="14.25" customHeight="1">
      <c r="A28" s="7"/>
      <c r="B28" s="7"/>
      <c r="C28" s="1">
        <f>SUMIF(Recepture!$A$4:$A$500,A28,Recepture!$F$4:$F$500)</f>
        <v>0</v>
      </c>
      <c r="D28" s="7"/>
      <c r="E28" s="1">
        <f>D28/60*Podesavanja!$B$7</f>
        <v>0</v>
      </c>
      <c r="F28" s="1">
        <f>(C28+E28)*Podesavanja!$B$8</f>
        <v>0</v>
      </c>
      <c r="G28" s="1">
        <f>(C28+E28+F28)*Podesavanja!$B$24</f>
        <v>0</v>
      </c>
      <c r="H28" s="1">
        <f t="shared" si="1"/>
        <v>0</v>
      </c>
      <c r="I28" s="1">
        <f t="shared" si="2"/>
        <v>0</v>
      </c>
      <c r="J28" s="7"/>
      <c r="K28" s="1">
        <f t="shared" si="3"/>
        <v>0</v>
      </c>
      <c r="L28" s="1">
        <f t="shared" si="4"/>
        <v>0</v>
      </c>
    </row>
    <row r="29" ht="14.25" customHeight="1">
      <c r="A29" s="7"/>
      <c r="B29" s="7"/>
      <c r="C29" s="1">
        <f>SUMIF(Recepture!$A$4:$A$500,A29,Recepture!$F$4:$F$500)</f>
        <v>0</v>
      </c>
      <c r="D29" s="7"/>
      <c r="E29" s="1">
        <f>D29/60*Podesavanja!$B$7</f>
        <v>0</v>
      </c>
      <c r="F29" s="1">
        <f>(C29+E29)*Podesavanja!$B$8</f>
        <v>0</v>
      </c>
      <c r="G29" s="1">
        <f>(C29+E29+F29)*Podesavanja!$B$24</f>
        <v>0</v>
      </c>
      <c r="H29" s="1">
        <f t="shared" si="1"/>
        <v>0</v>
      </c>
      <c r="I29" s="1">
        <f t="shared" si="2"/>
        <v>0</v>
      </c>
      <c r="J29" s="7"/>
      <c r="K29" s="1">
        <f t="shared" si="3"/>
        <v>0</v>
      </c>
      <c r="L29" s="1">
        <f t="shared" si="4"/>
        <v>0</v>
      </c>
    </row>
    <row r="30" ht="14.25" customHeight="1">
      <c r="A30" s="7"/>
      <c r="B30" s="7"/>
      <c r="C30" s="1">
        <f>SUMIF(Recepture!$A$4:$A$500,A30,Recepture!$F$4:$F$500)</f>
        <v>0</v>
      </c>
      <c r="D30" s="7"/>
      <c r="E30" s="1">
        <f>D30/60*Podesavanja!$B$7</f>
        <v>0</v>
      </c>
      <c r="F30" s="1">
        <f>(C30+E30)*Podesavanja!$B$8</f>
        <v>0</v>
      </c>
      <c r="G30" s="1">
        <f>(C30+E30+F30)*Podesavanja!$B$24</f>
        <v>0</v>
      </c>
      <c r="H30" s="1">
        <f t="shared" si="1"/>
        <v>0</v>
      </c>
      <c r="I30" s="1">
        <f t="shared" si="2"/>
        <v>0</v>
      </c>
      <c r="J30" s="7"/>
      <c r="K30" s="1">
        <f t="shared" si="3"/>
        <v>0</v>
      </c>
      <c r="L30" s="1">
        <f t="shared" si="4"/>
        <v>0</v>
      </c>
    </row>
    <row r="31" ht="14.25" customHeight="1">
      <c r="A31" s="7"/>
      <c r="B31" s="7"/>
      <c r="C31" s="1">
        <f>SUMIF(Recepture!$A$4:$A$500,A31,Recepture!$F$4:$F$500)</f>
        <v>0</v>
      </c>
      <c r="D31" s="7"/>
      <c r="E31" s="1">
        <f>D31/60*Podesavanja!$B$7</f>
        <v>0</v>
      </c>
      <c r="F31" s="1">
        <f>(C31+E31)*Podesavanja!$B$8</f>
        <v>0</v>
      </c>
      <c r="G31" s="1">
        <f>(C31+E31+F31)*Podesavanja!$B$24</f>
        <v>0</v>
      </c>
      <c r="H31" s="1">
        <f t="shared" si="1"/>
        <v>0</v>
      </c>
      <c r="I31" s="1">
        <f t="shared" si="2"/>
        <v>0</v>
      </c>
      <c r="J31" s="7"/>
      <c r="K31" s="1">
        <f t="shared" si="3"/>
        <v>0</v>
      </c>
      <c r="L31" s="1">
        <f t="shared" si="4"/>
        <v>0</v>
      </c>
    </row>
    <row r="32" ht="14.25" customHeight="1">
      <c r="A32" s="7"/>
      <c r="B32" s="7"/>
      <c r="C32" s="1">
        <f>SUMIF(Recepture!$A$4:$A$500,A32,Recepture!$F$4:$F$500)</f>
        <v>0</v>
      </c>
      <c r="D32" s="7"/>
      <c r="E32" s="1">
        <f>D32/60*Podesavanja!$B$7</f>
        <v>0</v>
      </c>
      <c r="F32" s="1">
        <f>(C32+E32)*Podesavanja!$B$8</f>
        <v>0</v>
      </c>
      <c r="G32" s="1">
        <f>(C32+E32+F32)*Podesavanja!$B$24</f>
        <v>0</v>
      </c>
      <c r="H32" s="1">
        <f t="shared" si="1"/>
        <v>0</v>
      </c>
      <c r="I32" s="1">
        <f t="shared" si="2"/>
        <v>0</v>
      </c>
      <c r="J32" s="7"/>
      <c r="K32" s="1">
        <f t="shared" si="3"/>
        <v>0</v>
      </c>
      <c r="L32" s="1">
        <f t="shared" si="4"/>
        <v>0</v>
      </c>
    </row>
    <row r="33" ht="14.25" customHeight="1">
      <c r="A33" s="7"/>
      <c r="B33" s="7"/>
      <c r="C33" s="1">
        <f>SUMIF(Recepture!$A$4:$A$500,A33,Recepture!$F$4:$F$500)</f>
        <v>0</v>
      </c>
      <c r="D33" s="7"/>
      <c r="E33" s="1">
        <f>D33/60*Podesavanja!$B$7</f>
        <v>0</v>
      </c>
      <c r="F33" s="1">
        <f>(C33+E33)*Podesavanja!$B$8</f>
        <v>0</v>
      </c>
      <c r="G33" s="1">
        <f>(C33+E33+F33)*Podesavanja!$B$24</f>
        <v>0</v>
      </c>
      <c r="H33" s="1">
        <f t="shared" si="1"/>
        <v>0</v>
      </c>
      <c r="I33" s="1">
        <f t="shared" si="2"/>
        <v>0</v>
      </c>
      <c r="J33" s="7"/>
      <c r="K33" s="1">
        <f t="shared" si="3"/>
        <v>0</v>
      </c>
      <c r="L33" s="1">
        <f t="shared" si="4"/>
        <v>0</v>
      </c>
    </row>
    <row r="34" ht="14.25" customHeight="1">
      <c r="A34" s="7"/>
      <c r="B34" s="7"/>
      <c r="C34" s="1">
        <f>SUMIF(Recepture!$A$4:$A$500,A34,Recepture!$F$4:$F$500)</f>
        <v>0</v>
      </c>
      <c r="D34" s="7"/>
      <c r="E34" s="1">
        <f>D34/60*Podesavanja!$B$7</f>
        <v>0</v>
      </c>
      <c r="F34" s="1">
        <f>(C34+E34)*Podesavanja!$B$8</f>
        <v>0</v>
      </c>
      <c r="G34" s="1">
        <f>(C34+E34+F34)*Podesavanja!$B$24</f>
        <v>0</v>
      </c>
      <c r="H34" s="1">
        <f t="shared" si="1"/>
        <v>0</v>
      </c>
      <c r="I34" s="1">
        <f t="shared" si="2"/>
        <v>0</v>
      </c>
      <c r="J34" s="7"/>
      <c r="K34" s="1">
        <f t="shared" si="3"/>
        <v>0</v>
      </c>
      <c r="L34" s="1">
        <f t="shared" si="4"/>
        <v>0</v>
      </c>
    </row>
    <row r="35" ht="14.25" customHeight="1">
      <c r="A35" s="7"/>
      <c r="B35" s="7"/>
      <c r="C35" s="1">
        <f>SUMIF(Recepture!$A$4:$A$500,A35,Recepture!$F$4:$F$500)</f>
        <v>0</v>
      </c>
      <c r="D35" s="7"/>
      <c r="E35" s="1">
        <f>D35/60*Podesavanja!$B$7</f>
        <v>0</v>
      </c>
      <c r="F35" s="1">
        <f>(C35+E35)*Podesavanja!$B$8</f>
        <v>0</v>
      </c>
      <c r="G35" s="1">
        <f>(C35+E35+F35)*Podesavanja!$B$24</f>
        <v>0</v>
      </c>
      <c r="H35" s="1">
        <f t="shared" si="1"/>
        <v>0</v>
      </c>
      <c r="I35" s="1">
        <f t="shared" si="2"/>
        <v>0</v>
      </c>
      <c r="J35" s="7"/>
      <c r="K35" s="1">
        <f t="shared" si="3"/>
        <v>0</v>
      </c>
      <c r="L35" s="1">
        <f t="shared" si="4"/>
        <v>0</v>
      </c>
    </row>
    <row r="36" ht="14.25" customHeight="1">
      <c r="A36" s="7"/>
      <c r="B36" s="7"/>
      <c r="C36" s="1">
        <f>SUMIF(Recepture!$A$4:$A$500,A36,Recepture!$F$4:$F$500)</f>
        <v>0</v>
      </c>
      <c r="D36" s="7"/>
      <c r="E36" s="1">
        <f>D36/60*Podesavanja!$B$7</f>
        <v>0</v>
      </c>
      <c r="F36" s="1">
        <f>(C36+E36)*Podesavanja!$B$8</f>
        <v>0</v>
      </c>
      <c r="G36" s="1">
        <f>(C36+E36+F36)*Podesavanja!$B$24</f>
        <v>0</v>
      </c>
      <c r="H36" s="1">
        <f t="shared" si="1"/>
        <v>0</v>
      </c>
      <c r="I36" s="1">
        <f t="shared" si="2"/>
        <v>0</v>
      </c>
      <c r="J36" s="7"/>
      <c r="K36" s="1">
        <f t="shared" si="3"/>
        <v>0</v>
      </c>
      <c r="L36" s="1">
        <f t="shared" si="4"/>
        <v>0</v>
      </c>
    </row>
    <row r="37" ht="14.25" customHeight="1">
      <c r="A37" s="7"/>
      <c r="B37" s="7"/>
      <c r="C37" s="1">
        <f>SUMIF(Recepture!$A$4:$A$500,A37,Recepture!$F$4:$F$500)</f>
        <v>0</v>
      </c>
      <c r="D37" s="7"/>
      <c r="E37" s="1">
        <f>D37/60*Podesavanja!$B$7</f>
        <v>0</v>
      </c>
      <c r="F37" s="1">
        <f>(C37+E37)*Podesavanja!$B$8</f>
        <v>0</v>
      </c>
      <c r="G37" s="1">
        <f>(C37+E37+F37)*Podesavanja!$B$24</f>
        <v>0</v>
      </c>
      <c r="H37" s="1">
        <f t="shared" si="1"/>
        <v>0</v>
      </c>
      <c r="I37" s="1">
        <f t="shared" si="2"/>
        <v>0</v>
      </c>
      <c r="J37" s="7"/>
      <c r="K37" s="1">
        <f t="shared" si="3"/>
        <v>0</v>
      </c>
      <c r="L37" s="1">
        <f t="shared" si="4"/>
        <v>0</v>
      </c>
    </row>
    <row r="38" ht="14.25" customHeight="1">
      <c r="A38" s="7"/>
      <c r="B38" s="7"/>
      <c r="C38" s="1">
        <f>SUMIF(Recepture!$A$4:$A$500,A38,Recepture!$F$4:$F$500)</f>
        <v>0</v>
      </c>
      <c r="D38" s="7"/>
      <c r="E38" s="1">
        <f>D38/60*Podesavanja!$B$7</f>
        <v>0</v>
      </c>
      <c r="F38" s="1">
        <f>(C38+E38)*Podesavanja!$B$8</f>
        <v>0</v>
      </c>
      <c r="G38" s="1">
        <f>(C38+E38+F38)*Podesavanja!$B$24</f>
        <v>0</v>
      </c>
      <c r="H38" s="1">
        <f t="shared" si="1"/>
        <v>0</v>
      </c>
      <c r="I38" s="1">
        <f t="shared" si="2"/>
        <v>0</v>
      </c>
      <c r="J38" s="7"/>
      <c r="K38" s="1">
        <f t="shared" si="3"/>
        <v>0</v>
      </c>
      <c r="L38" s="1">
        <f t="shared" si="4"/>
        <v>0</v>
      </c>
    </row>
    <row r="39" ht="14.25" customHeight="1">
      <c r="A39" s="7"/>
      <c r="B39" s="7"/>
      <c r="C39" s="1">
        <f>SUMIF(Recepture!$A$4:$A$500,A39,Recepture!$F$4:$F$500)</f>
        <v>0</v>
      </c>
      <c r="D39" s="7"/>
      <c r="E39" s="1">
        <f>D39/60*Podesavanja!$B$7</f>
        <v>0</v>
      </c>
      <c r="F39" s="1">
        <f>(C39+E39)*Podesavanja!$B$8</f>
        <v>0</v>
      </c>
      <c r="G39" s="1">
        <f>(C39+E39+F39)*Podesavanja!$B$24</f>
        <v>0</v>
      </c>
      <c r="H39" s="1">
        <f t="shared" si="1"/>
        <v>0</v>
      </c>
      <c r="I39" s="1">
        <f t="shared" si="2"/>
        <v>0</v>
      </c>
      <c r="J39" s="7"/>
      <c r="K39" s="1">
        <f t="shared" si="3"/>
        <v>0</v>
      </c>
      <c r="L39" s="1">
        <f t="shared" si="4"/>
        <v>0</v>
      </c>
    </row>
    <row r="40" ht="14.25" customHeight="1">
      <c r="A40" s="7"/>
      <c r="B40" s="7"/>
      <c r="C40" s="1">
        <f>SUMIF(Recepture!$A$4:$A$500,A40,Recepture!$F$4:$F$500)</f>
        <v>0</v>
      </c>
      <c r="D40" s="7"/>
      <c r="E40" s="1">
        <f>D40/60*Podesavanja!$B$7</f>
        <v>0</v>
      </c>
      <c r="F40" s="1">
        <f>(C40+E40)*Podesavanja!$B$8</f>
        <v>0</v>
      </c>
      <c r="G40" s="1">
        <f>(C40+E40+F40)*Podesavanja!$B$24</f>
        <v>0</v>
      </c>
      <c r="H40" s="1">
        <f t="shared" si="1"/>
        <v>0</v>
      </c>
      <c r="I40" s="1">
        <f t="shared" si="2"/>
        <v>0</v>
      </c>
      <c r="J40" s="7"/>
      <c r="K40" s="1">
        <f t="shared" si="3"/>
        <v>0</v>
      </c>
      <c r="L40" s="1">
        <f t="shared" si="4"/>
        <v>0</v>
      </c>
    </row>
    <row r="41" ht="14.25" customHeight="1">
      <c r="A41" s="7"/>
      <c r="B41" s="7"/>
      <c r="C41" s="1">
        <f>SUMIF(Recepture!$A$4:$A$500,A41,Recepture!$F$4:$F$500)</f>
        <v>0</v>
      </c>
      <c r="D41" s="7"/>
      <c r="E41" s="1">
        <f>D41/60*Podesavanja!$B$7</f>
        <v>0</v>
      </c>
      <c r="F41" s="1">
        <f>(C41+E41)*Podesavanja!$B$8</f>
        <v>0</v>
      </c>
      <c r="G41" s="1">
        <f>(C41+E41+F41)*Podesavanja!$B$24</f>
        <v>0</v>
      </c>
      <c r="H41" s="1">
        <f t="shared" si="1"/>
        <v>0</v>
      </c>
      <c r="I41" s="1">
        <f t="shared" si="2"/>
        <v>0</v>
      </c>
      <c r="J41" s="7"/>
      <c r="K41" s="1">
        <f t="shared" si="3"/>
        <v>0</v>
      </c>
      <c r="L41" s="1">
        <f t="shared" si="4"/>
        <v>0</v>
      </c>
    </row>
    <row r="42" ht="14.25" customHeight="1">
      <c r="A42" s="7"/>
      <c r="B42" s="7"/>
      <c r="C42" s="1">
        <f>SUMIF(Recepture!$A$4:$A$500,A42,Recepture!$F$4:$F$500)</f>
        <v>0</v>
      </c>
      <c r="D42" s="7"/>
      <c r="E42" s="1">
        <f>D42/60*Podesavanja!$B$7</f>
        <v>0</v>
      </c>
      <c r="F42" s="1">
        <f>(C42+E42)*Podesavanja!$B$8</f>
        <v>0</v>
      </c>
      <c r="G42" s="1">
        <f>(C42+E42+F42)*Podesavanja!$B$24</f>
        <v>0</v>
      </c>
      <c r="H42" s="1">
        <f t="shared" si="1"/>
        <v>0</v>
      </c>
      <c r="I42" s="1">
        <f t="shared" si="2"/>
        <v>0</v>
      </c>
      <c r="J42" s="7"/>
      <c r="K42" s="1">
        <f t="shared" si="3"/>
        <v>0</v>
      </c>
      <c r="L42" s="1">
        <f t="shared" si="4"/>
        <v>0</v>
      </c>
    </row>
    <row r="43" ht="14.25" customHeight="1">
      <c r="A43" s="7"/>
      <c r="B43" s="7"/>
      <c r="C43" s="1">
        <f>SUMIF(Recepture!$A$4:$A$500,A43,Recepture!$F$4:$F$500)</f>
        <v>0</v>
      </c>
      <c r="D43" s="7"/>
      <c r="E43" s="1">
        <f>D43/60*Podesavanja!$B$7</f>
        <v>0</v>
      </c>
      <c r="F43" s="1">
        <f>(C43+E43)*Podesavanja!$B$8</f>
        <v>0</v>
      </c>
      <c r="G43" s="1">
        <f>(C43+E43+F43)*Podesavanja!$B$24</f>
        <v>0</v>
      </c>
      <c r="H43" s="1">
        <f t="shared" si="1"/>
        <v>0</v>
      </c>
      <c r="I43" s="1">
        <f t="shared" si="2"/>
        <v>0</v>
      </c>
      <c r="J43" s="7"/>
      <c r="K43" s="1">
        <f t="shared" si="3"/>
        <v>0</v>
      </c>
      <c r="L43" s="1">
        <f t="shared" si="4"/>
        <v>0</v>
      </c>
    </row>
    <row r="44" ht="14.25" customHeight="1">
      <c r="A44" s="7"/>
      <c r="B44" s="7"/>
      <c r="C44" s="1">
        <f>SUMIF(Recepture!$A$4:$A$500,A44,Recepture!$F$4:$F$500)</f>
        <v>0</v>
      </c>
      <c r="D44" s="7"/>
      <c r="E44" s="1">
        <f>D44/60*Podesavanja!$B$7</f>
        <v>0</v>
      </c>
      <c r="F44" s="1">
        <f>(C44+E44)*Podesavanja!$B$8</f>
        <v>0</v>
      </c>
      <c r="G44" s="1">
        <f>(C44+E44+F44)*Podesavanja!$B$24</f>
        <v>0</v>
      </c>
      <c r="H44" s="1">
        <f t="shared" si="1"/>
        <v>0</v>
      </c>
      <c r="I44" s="1">
        <f t="shared" si="2"/>
        <v>0</v>
      </c>
      <c r="J44" s="7"/>
      <c r="K44" s="1">
        <f t="shared" si="3"/>
        <v>0</v>
      </c>
      <c r="L44" s="1">
        <f t="shared" si="4"/>
        <v>0</v>
      </c>
    </row>
    <row r="45" ht="14.25" customHeight="1">
      <c r="A45" s="7"/>
      <c r="B45" s="7"/>
      <c r="C45" s="1">
        <f>SUMIF(Recepture!$A$4:$A$500,A45,Recepture!$F$4:$F$500)</f>
        <v>0</v>
      </c>
      <c r="D45" s="7"/>
      <c r="E45" s="1">
        <f>D45/60*Podesavanja!$B$7</f>
        <v>0</v>
      </c>
      <c r="F45" s="1">
        <f>(C45+E45)*Podesavanja!$B$8</f>
        <v>0</v>
      </c>
      <c r="G45" s="1">
        <f>(C45+E45+F45)*Podesavanja!$B$24</f>
        <v>0</v>
      </c>
      <c r="H45" s="1">
        <f t="shared" si="1"/>
        <v>0</v>
      </c>
      <c r="I45" s="1">
        <f t="shared" si="2"/>
        <v>0</v>
      </c>
      <c r="J45" s="7"/>
      <c r="K45" s="1">
        <f t="shared" si="3"/>
        <v>0</v>
      </c>
      <c r="L45" s="1">
        <f t="shared" si="4"/>
        <v>0</v>
      </c>
    </row>
    <row r="46" ht="14.25" customHeight="1">
      <c r="A46" s="7"/>
      <c r="B46" s="7"/>
      <c r="C46" s="1">
        <f>SUMIF(Recepture!$A$4:$A$500,A46,Recepture!$F$4:$F$500)</f>
        <v>0</v>
      </c>
      <c r="D46" s="7"/>
      <c r="E46" s="1">
        <f>D46/60*Podesavanja!$B$7</f>
        <v>0</v>
      </c>
      <c r="F46" s="1">
        <f>(C46+E46)*Podesavanja!$B$8</f>
        <v>0</v>
      </c>
      <c r="G46" s="1">
        <f>(C46+E46+F46)*Podesavanja!$B$24</f>
        <v>0</v>
      </c>
      <c r="H46" s="1">
        <f t="shared" si="1"/>
        <v>0</v>
      </c>
      <c r="I46" s="1">
        <f t="shared" si="2"/>
        <v>0</v>
      </c>
      <c r="J46" s="7"/>
      <c r="K46" s="1">
        <f t="shared" si="3"/>
        <v>0</v>
      </c>
      <c r="L46" s="1">
        <f t="shared" si="4"/>
        <v>0</v>
      </c>
    </row>
    <row r="47" ht="14.25" customHeight="1">
      <c r="A47" s="7"/>
      <c r="B47" s="7"/>
      <c r="C47" s="1">
        <f>SUMIF(Recepture!$A$4:$A$500,A47,Recepture!$F$4:$F$500)</f>
        <v>0</v>
      </c>
      <c r="D47" s="7"/>
      <c r="E47" s="1">
        <f>D47/60*Podesavanja!$B$7</f>
        <v>0</v>
      </c>
      <c r="F47" s="1">
        <f>(C47+E47)*Podesavanja!$B$8</f>
        <v>0</v>
      </c>
      <c r="G47" s="1">
        <f>(C47+E47+F47)*Podesavanja!$B$24</f>
        <v>0</v>
      </c>
      <c r="H47" s="1">
        <f t="shared" si="1"/>
        <v>0</v>
      </c>
      <c r="I47" s="1">
        <f t="shared" si="2"/>
        <v>0</v>
      </c>
      <c r="J47" s="7"/>
      <c r="K47" s="1">
        <f t="shared" si="3"/>
        <v>0</v>
      </c>
      <c r="L47" s="1">
        <f t="shared" si="4"/>
        <v>0</v>
      </c>
    </row>
    <row r="48" ht="14.25" customHeight="1">
      <c r="A48" s="7"/>
      <c r="B48" s="7"/>
      <c r="C48" s="1">
        <f>SUMIF(Recepture!$A$4:$A$500,A48,Recepture!$F$4:$F$500)</f>
        <v>0</v>
      </c>
      <c r="D48" s="7"/>
      <c r="E48" s="1">
        <f>D48/60*Podesavanja!$B$7</f>
        <v>0</v>
      </c>
      <c r="F48" s="1">
        <f>(C48+E48)*Podesavanja!$B$8</f>
        <v>0</v>
      </c>
      <c r="G48" s="1">
        <f>(C48+E48+F48)*Podesavanja!$B$24</f>
        <v>0</v>
      </c>
      <c r="H48" s="1">
        <f t="shared" si="1"/>
        <v>0</v>
      </c>
      <c r="I48" s="1">
        <f t="shared" si="2"/>
        <v>0</v>
      </c>
      <c r="J48" s="7"/>
      <c r="K48" s="1">
        <f t="shared" si="3"/>
        <v>0</v>
      </c>
      <c r="L48" s="1">
        <f t="shared" si="4"/>
        <v>0</v>
      </c>
    </row>
    <row r="49" ht="14.25" customHeight="1">
      <c r="A49" s="7"/>
      <c r="B49" s="7"/>
      <c r="C49" s="1">
        <f>SUMIF(Recepture!$A$4:$A$500,A49,Recepture!$F$4:$F$500)</f>
        <v>0</v>
      </c>
      <c r="D49" s="7"/>
      <c r="E49" s="1">
        <f>D49/60*Podesavanja!$B$7</f>
        <v>0</v>
      </c>
      <c r="F49" s="1">
        <f>(C49+E49)*Podesavanja!$B$8</f>
        <v>0</v>
      </c>
      <c r="G49" s="1">
        <f>(C49+E49+F49)*Podesavanja!$B$24</f>
        <v>0</v>
      </c>
      <c r="H49" s="1">
        <f t="shared" si="1"/>
        <v>0</v>
      </c>
      <c r="I49" s="1">
        <f t="shared" si="2"/>
        <v>0</v>
      </c>
      <c r="J49" s="7"/>
      <c r="K49" s="1">
        <f t="shared" si="3"/>
        <v>0</v>
      </c>
      <c r="L49" s="1">
        <f t="shared" si="4"/>
        <v>0</v>
      </c>
    </row>
    <row r="50" ht="14.25" customHeight="1">
      <c r="A50" s="7"/>
      <c r="B50" s="7"/>
      <c r="C50" s="1">
        <f>SUMIF(Recepture!$A$4:$A$500,A50,Recepture!$F$4:$F$500)</f>
        <v>0</v>
      </c>
      <c r="D50" s="7"/>
      <c r="E50" s="1">
        <f>D50/60*Podesavanja!$B$7</f>
        <v>0</v>
      </c>
      <c r="F50" s="1">
        <f>(C50+E50)*Podesavanja!$B$8</f>
        <v>0</v>
      </c>
      <c r="G50" s="1">
        <f>(C50+E50+F50)*Podesavanja!$B$24</f>
        <v>0</v>
      </c>
      <c r="H50" s="1">
        <f t="shared" si="1"/>
        <v>0</v>
      </c>
      <c r="I50" s="1">
        <f t="shared" si="2"/>
        <v>0</v>
      </c>
      <c r="J50" s="7"/>
      <c r="K50" s="1">
        <f t="shared" si="3"/>
        <v>0</v>
      </c>
      <c r="L50" s="1">
        <f t="shared" si="4"/>
        <v>0</v>
      </c>
    </row>
    <row r="51" ht="14.25" customHeight="1">
      <c r="A51" s="7"/>
      <c r="B51" s="7"/>
      <c r="C51" s="1">
        <f>SUMIF(Recepture!$A$4:$A$500,A51,Recepture!$F$4:$F$500)</f>
        <v>0</v>
      </c>
      <c r="D51" s="7"/>
      <c r="E51" s="1">
        <f>D51/60*Podesavanja!$B$7</f>
        <v>0</v>
      </c>
      <c r="F51" s="1">
        <f>(C51+E51)*Podesavanja!$B$8</f>
        <v>0</v>
      </c>
      <c r="G51" s="1">
        <f>(C51+E51+F51)*Podesavanja!$B$24</f>
        <v>0</v>
      </c>
      <c r="H51" s="1">
        <f t="shared" si="1"/>
        <v>0</v>
      </c>
      <c r="I51" s="1">
        <f t="shared" si="2"/>
        <v>0</v>
      </c>
      <c r="J51" s="7"/>
      <c r="K51" s="1">
        <f t="shared" si="3"/>
        <v>0</v>
      </c>
      <c r="L51" s="1">
        <f t="shared" si="4"/>
        <v>0</v>
      </c>
    </row>
    <row r="52" ht="14.25" customHeight="1">
      <c r="A52" s="7"/>
      <c r="B52" s="7"/>
      <c r="C52" s="1">
        <f>SUMIF(Recepture!$A$4:$A$500,A52,Recepture!$F$4:$F$500)</f>
        <v>0</v>
      </c>
      <c r="D52" s="7"/>
      <c r="E52" s="1">
        <f>D52/60*Podesavanja!$B$7</f>
        <v>0</v>
      </c>
      <c r="F52" s="1">
        <f>(C52+E52)*Podesavanja!$B$8</f>
        <v>0</v>
      </c>
      <c r="G52" s="1">
        <f>(C52+E52+F52)*Podesavanja!$B$24</f>
        <v>0</v>
      </c>
      <c r="H52" s="1">
        <f t="shared" si="1"/>
        <v>0</v>
      </c>
      <c r="I52" s="1">
        <f t="shared" si="2"/>
        <v>0</v>
      </c>
      <c r="J52" s="7"/>
      <c r="K52" s="1">
        <f t="shared" si="3"/>
        <v>0</v>
      </c>
      <c r="L52" s="1">
        <f t="shared" si="4"/>
        <v>0</v>
      </c>
    </row>
    <row r="53" ht="14.25" customHeight="1">
      <c r="A53" s="7"/>
      <c r="B53" s="7"/>
      <c r="C53" s="1">
        <f>SUMIF(Recepture!$A$4:$A$500,A53,Recepture!$F$4:$F$500)</f>
        <v>0</v>
      </c>
      <c r="D53" s="7"/>
      <c r="E53" s="1">
        <f>D53/60*Podesavanja!$B$7</f>
        <v>0</v>
      </c>
      <c r="F53" s="1">
        <f>(C53+E53)*Podesavanja!$B$8</f>
        <v>0</v>
      </c>
      <c r="G53" s="1">
        <f>(C53+E53+F53)*Podesavanja!$B$24</f>
        <v>0</v>
      </c>
      <c r="H53" s="1">
        <f t="shared" si="1"/>
        <v>0</v>
      </c>
      <c r="I53" s="1">
        <f t="shared" si="2"/>
        <v>0</v>
      </c>
      <c r="J53" s="7"/>
      <c r="K53" s="1">
        <f t="shared" si="3"/>
        <v>0</v>
      </c>
      <c r="L53" s="1">
        <f t="shared" si="4"/>
        <v>0</v>
      </c>
    </row>
    <row r="54" ht="14.25" customHeight="1">
      <c r="A54" s="7"/>
      <c r="B54" s="7"/>
      <c r="C54" s="1">
        <f>SUMIF(Recepture!$A$4:$A$500,A54,Recepture!$F$4:$F$500)</f>
        <v>0</v>
      </c>
      <c r="D54" s="7"/>
      <c r="E54" s="1">
        <f>D54/60*Podesavanja!$B$7</f>
        <v>0</v>
      </c>
      <c r="F54" s="1">
        <f>(C54+E54)*Podesavanja!$B$8</f>
        <v>0</v>
      </c>
      <c r="G54" s="1">
        <f>(C54+E54+F54)*Podesavanja!$B$24</f>
        <v>0</v>
      </c>
      <c r="H54" s="1">
        <f t="shared" si="1"/>
        <v>0</v>
      </c>
      <c r="I54" s="1">
        <f t="shared" si="2"/>
        <v>0</v>
      </c>
      <c r="J54" s="7"/>
      <c r="K54" s="1">
        <f t="shared" si="3"/>
        <v>0</v>
      </c>
      <c r="L54" s="1">
        <f t="shared" si="4"/>
        <v>0</v>
      </c>
    </row>
    <row r="55" ht="14.25" customHeight="1">
      <c r="A55" s="7"/>
      <c r="B55" s="7"/>
      <c r="C55" s="1">
        <f>SUMIF(Recepture!$A$4:$A$500,A55,Recepture!$F$4:$F$500)</f>
        <v>0</v>
      </c>
      <c r="D55" s="7"/>
      <c r="E55" s="1">
        <f>D55/60*Podesavanja!$B$7</f>
        <v>0</v>
      </c>
      <c r="F55" s="1">
        <f>(C55+E55)*Podesavanja!$B$8</f>
        <v>0</v>
      </c>
      <c r="G55" s="1">
        <f>(C55+E55+F55)*Podesavanja!$B$24</f>
        <v>0</v>
      </c>
      <c r="H55" s="1">
        <f t="shared" si="1"/>
        <v>0</v>
      </c>
      <c r="I55" s="1">
        <f t="shared" si="2"/>
        <v>0</v>
      </c>
      <c r="J55" s="7"/>
      <c r="K55" s="1">
        <f t="shared" si="3"/>
        <v>0</v>
      </c>
      <c r="L55" s="1">
        <f t="shared" si="4"/>
        <v>0</v>
      </c>
    </row>
    <row r="56" ht="14.25" customHeight="1">
      <c r="A56" s="7"/>
      <c r="B56" s="7"/>
      <c r="C56" s="1">
        <f>SUMIF(Recepture!$A$4:$A$500,A56,Recepture!$F$4:$F$500)</f>
        <v>0</v>
      </c>
      <c r="D56" s="7"/>
      <c r="E56" s="1">
        <f>D56/60*Podesavanja!$B$7</f>
        <v>0</v>
      </c>
      <c r="F56" s="1">
        <f>(C56+E56)*Podesavanja!$B$8</f>
        <v>0</v>
      </c>
      <c r="G56" s="1">
        <f>(C56+E56+F56)*Podesavanja!$B$24</f>
        <v>0</v>
      </c>
      <c r="H56" s="1">
        <f t="shared" si="1"/>
        <v>0</v>
      </c>
      <c r="I56" s="1">
        <f t="shared" si="2"/>
        <v>0</v>
      </c>
      <c r="J56" s="7"/>
      <c r="K56" s="1">
        <f t="shared" si="3"/>
        <v>0</v>
      </c>
      <c r="L56" s="1">
        <f t="shared" si="4"/>
        <v>0</v>
      </c>
    </row>
    <row r="57" ht="14.25" customHeight="1">
      <c r="A57" s="7"/>
      <c r="B57" s="7"/>
      <c r="C57" s="1">
        <f>SUMIF(Recepture!$A$4:$A$500,A57,Recepture!$F$4:$F$500)</f>
        <v>0</v>
      </c>
      <c r="D57" s="7"/>
      <c r="E57" s="1">
        <f>D57/60*Podesavanja!$B$7</f>
        <v>0</v>
      </c>
      <c r="F57" s="1">
        <f>(C57+E57)*Podesavanja!$B$8</f>
        <v>0</v>
      </c>
      <c r="G57" s="1">
        <f>(C57+E57+F57)*Podesavanja!$B$24</f>
        <v>0</v>
      </c>
      <c r="H57" s="1">
        <f t="shared" si="1"/>
        <v>0</v>
      </c>
      <c r="I57" s="1">
        <f t="shared" si="2"/>
        <v>0</v>
      </c>
      <c r="J57" s="7"/>
      <c r="K57" s="1">
        <f t="shared" si="3"/>
        <v>0</v>
      </c>
      <c r="L57" s="1">
        <f t="shared" si="4"/>
        <v>0</v>
      </c>
    </row>
    <row r="58" ht="14.25" customHeight="1">
      <c r="A58" s="7"/>
      <c r="B58" s="7"/>
      <c r="C58" s="1">
        <f>SUMIF(Recepture!$A$4:$A$500,A58,Recepture!$F$4:$F$500)</f>
        <v>0</v>
      </c>
      <c r="D58" s="7"/>
      <c r="E58" s="1">
        <f>D58/60*Podesavanja!$B$7</f>
        <v>0</v>
      </c>
      <c r="F58" s="1">
        <f>(C58+E58)*Podesavanja!$B$8</f>
        <v>0</v>
      </c>
      <c r="G58" s="1">
        <f>(C58+E58+F58)*Podesavanja!$B$24</f>
        <v>0</v>
      </c>
      <c r="H58" s="1">
        <f t="shared" si="1"/>
        <v>0</v>
      </c>
      <c r="I58" s="1">
        <f t="shared" si="2"/>
        <v>0</v>
      </c>
      <c r="J58" s="7"/>
      <c r="K58" s="1">
        <f t="shared" si="3"/>
        <v>0</v>
      </c>
      <c r="L58" s="1">
        <f t="shared" si="4"/>
        <v>0</v>
      </c>
    </row>
    <row r="59" ht="14.25" customHeight="1">
      <c r="A59" s="7"/>
      <c r="B59" s="7"/>
      <c r="C59" s="1">
        <f>SUMIF(Recepture!$A$4:$A$500,A59,Recepture!$F$4:$F$500)</f>
        <v>0</v>
      </c>
      <c r="D59" s="7"/>
      <c r="E59" s="1">
        <f>D59/60*Podesavanja!$B$7</f>
        <v>0</v>
      </c>
      <c r="F59" s="1">
        <f>(C59+E59)*Podesavanja!$B$8</f>
        <v>0</v>
      </c>
      <c r="G59" s="1">
        <f>(C59+E59+F59)*Podesavanja!$B$24</f>
        <v>0</v>
      </c>
      <c r="H59" s="1">
        <f t="shared" si="1"/>
        <v>0</v>
      </c>
      <c r="I59" s="1">
        <f t="shared" si="2"/>
        <v>0</v>
      </c>
      <c r="J59" s="7"/>
      <c r="K59" s="1">
        <f t="shared" si="3"/>
        <v>0</v>
      </c>
      <c r="L59" s="1">
        <f t="shared" si="4"/>
        <v>0</v>
      </c>
    </row>
    <row r="60" ht="14.25" customHeight="1">
      <c r="A60" s="7"/>
      <c r="B60" s="7"/>
      <c r="C60" s="1">
        <f>SUMIF(Recepture!$A$4:$A$500,A60,Recepture!$F$4:$F$500)</f>
        <v>0</v>
      </c>
      <c r="D60" s="7"/>
      <c r="E60" s="1">
        <f>D60/60*Podesavanja!$B$7</f>
        <v>0</v>
      </c>
      <c r="F60" s="1">
        <f>(C60+E60)*Podesavanja!$B$8</f>
        <v>0</v>
      </c>
      <c r="G60" s="1">
        <f>(C60+E60+F60)*Podesavanja!$B$24</f>
        <v>0</v>
      </c>
      <c r="H60" s="1">
        <f t="shared" si="1"/>
        <v>0</v>
      </c>
      <c r="I60" s="1">
        <f t="shared" si="2"/>
        <v>0</v>
      </c>
      <c r="J60" s="7"/>
      <c r="K60" s="1">
        <f t="shared" si="3"/>
        <v>0</v>
      </c>
      <c r="L60" s="1">
        <f t="shared" si="4"/>
        <v>0</v>
      </c>
    </row>
    <row r="61" ht="14.25" customHeight="1">
      <c r="A61" s="7"/>
      <c r="B61" s="7"/>
      <c r="C61" s="1">
        <f>SUMIF(Recepture!$A$4:$A$500,A61,Recepture!$F$4:$F$500)</f>
        <v>0</v>
      </c>
      <c r="D61" s="7"/>
      <c r="E61" s="1">
        <f>D61/60*Podesavanja!$B$7</f>
        <v>0</v>
      </c>
      <c r="F61" s="1">
        <f>(C61+E61)*Podesavanja!$B$8</f>
        <v>0</v>
      </c>
      <c r="G61" s="1">
        <f>(C61+E61+F61)*Podesavanja!$B$24</f>
        <v>0</v>
      </c>
      <c r="H61" s="1">
        <f t="shared" si="1"/>
        <v>0</v>
      </c>
      <c r="I61" s="1">
        <f t="shared" si="2"/>
        <v>0</v>
      </c>
      <c r="J61" s="7"/>
      <c r="K61" s="1">
        <f t="shared" si="3"/>
        <v>0</v>
      </c>
      <c r="L61" s="1">
        <f t="shared" si="4"/>
        <v>0</v>
      </c>
    </row>
    <row r="62" ht="14.25" customHeight="1">
      <c r="A62" s="7"/>
      <c r="B62" s="7"/>
      <c r="C62" s="1">
        <f>SUMIF(Recepture!$A$4:$A$500,A62,Recepture!$F$4:$F$500)</f>
        <v>0</v>
      </c>
      <c r="D62" s="7"/>
      <c r="E62" s="1">
        <f>D62/60*Podesavanja!$B$7</f>
        <v>0</v>
      </c>
      <c r="F62" s="1">
        <f>(C62+E62)*Podesavanja!$B$8</f>
        <v>0</v>
      </c>
      <c r="G62" s="1">
        <f>(C62+E62+F62)*Podesavanja!$B$24</f>
        <v>0</v>
      </c>
      <c r="H62" s="1">
        <f t="shared" si="1"/>
        <v>0</v>
      </c>
      <c r="I62" s="1">
        <f t="shared" si="2"/>
        <v>0</v>
      </c>
      <c r="J62" s="7"/>
      <c r="K62" s="1">
        <f t="shared" si="3"/>
        <v>0</v>
      </c>
      <c r="L62" s="1">
        <f t="shared" si="4"/>
        <v>0</v>
      </c>
    </row>
    <row r="63" ht="14.25" customHeight="1">
      <c r="A63" s="7"/>
      <c r="B63" s="7"/>
      <c r="C63" s="1">
        <f>SUMIF(Recepture!$A$4:$A$500,A63,Recepture!$F$4:$F$500)</f>
        <v>0</v>
      </c>
      <c r="D63" s="7"/>
      <c r="E63" s="1">
        <f>D63/60*Podesavanja!$B$7</f>
        <v>0</v>
      </c>
      <c r="F63" s="1">
        <f>(C63+E63)*Podesavanja!$B$8</f>
        <v>0</v>
      </c>
      <c r="G63" s="1">
        <f>(C63+E63+F63)*Podesavanja!$B$24</f>
        <v>0</v>
      </c>
      <c r="H63" s="1">
        <f t="shared" si="1"/>
        <v>0</v>
      </c>
      <c r="I63" s="1">
        <f t="shared" si="2"/>
        <v>0</v>
      </c>
      <c r="J63" s="7"/>
      <c r="K63" s="1">
        <f t="shared" si="3"/>
        <v>0</v>
      </c>
      <c r="L63" s="1">
        <f t="shared" si="4"/>
        <v>0</v>
      </c>
    </row>
    <row r="64" ht="14.25" customHeight="1">
      <c r="A64" s="7"/>
      <c r="B64" s="7"/>
      <c r="C64" s="1">
        <f>SUMIF(Recepture!$A$4:$A$500,A64,Recepture!$F$4:$F$500)</f>
        <v>0</v>
      </c>
      <c r="D64" s="7"/>
      <c r="E64" s="1">
        <f>D64/60*Podesavanja!$B$7</f>
        <v>0</v>
      </c>
      <c r="F64" s="1">
        <f>(C64+E64)*Podesavanja!$B$8</f>
        <v>0</v>
      </c>
      <c r="G64" s="1">
        <f>(C64+E64+F64)*Podesavanja!$B$24</f>
        <v>0</v>
      </c>
      <c r="H64" s="1">
        <f t="shared" si="1"/>
        <v>0</v>
      </c>
      <c r="I64" s="1">
        <f t="shared" si="2"/>
        <v>0</v>
      </c>
      <c r="J64" s="7"/>
      <c r="K64" s="1">
        <f t="shared" si="3"/>
        <v>0</v>
      </c>
      <c r="L64" s="1">
        <f t="shared" si="4"/>
        <v>0</v>
      </c>
    </row>
    <row r="65" ht="14.25" customHeight="1">
      <c r="A65" s="7"/>
      <c r="B65" s="7"/>
      <c r="C65" s="1">
        <f>SUMIF(Recepture!$A$4:$A$500,A65,Recepture!$F$4:$F$500)</f>
        <v>0</v>
      </c>
      <c r="D65" s="7"/>
      <c r="E65" s="1">
        <f>D65/60*Podesavanja!$B$7</f>
        <v>0</v>
      </c>
      <c r="F65" s="1">
        <f>(C65+E65)*Podesavanja!$B$8</f>
        <v>0</v>
      </c>
      <c r="G65" s="1">
        <f>(C65+E65+F65)*Podesavanja!$B$24</f>
        <v>0</v>
      </c>
      <c r="H65" s="1">
        <f t="shared" si="1"/>
        <v>0</v>
      </c>
      <c r="I65" s="1">
        <f t="shared" si="2"/>
        <v>0</v>
      </c>
      <c r="J65" s="7"/>
      <c r="K65" s="1">
        <f t="shared" si="3"/>
        <v>0</v>
      </c>
      <c r="L65" s="1">
        <f t="shared" si="4"/>
        <v>0</v>
      </c>
    </row>
    <row r="66" ht="14.25" customHeight="1">
      <c r="A66" s="7"/>
      <c r="B66" s="7"/>
      <c r="C66" s="1">
        <f>SUMIF(Recepture!$A$4:$A$500,A66,Recepture!$F$4:$F$500)</f>
        <v>0</v>
      </c>
      <c r="D66" s="7"/>
      <c r="E66" s="1">
        <f>D66/60*Podesavanja!$B$7</f>
        <v>0</v>
      </c>
      <c r="F66" s="1">
        <f>(C66+E66)*Podesavanja!$B$8</f>
        <v>0</v>
      </c>
      <c r="G66" s="1">
        <f>(C66+E66+F66)*Podesavanja!$B$24</f>
        <v>0</v>
      </c>
      <c r="H66" s="1">
        <f t="shared" si="1"/>
        <v>0</v>
      </c>
      <c r="I66" s="1">
        <f t="shared" si="2"/>
        <v>0</v>
      </c>
      <c r="J66" s="7"/>
      <c r="K66" s="1">
        <f t="shared" si="3"/>
        <v>0</v>
      </c>
      <c r="L66" s="1">
        <f t="shared" si="4"/>
        <v>0</v>
      </c>
    </row>
    <row r="67" ht="14.25" customHeight="1">
      <c r="A67" s="7"/>
      <c r="B67" s="7"/>
      <c r="C67" s="1">
        <f>SUMIF(Recepture!$A$4:$A$500,A67,Recepture!$F$4:$F$500)</f>
        <v>0</v>
      </c>
      <c r="D67" s="7"/>
      <c r="E67" s="1">
        <f>D67/60*Podesavanja!$B$7</f>
        <v>0</v>
      </c>
      <c r="F67" s="1">
        <f>(C67+E67)*Podesavanja!$B$8</f>
        <v>0</v>
      </c>
      <c r="G67" s="1">
        <f>(C67+E67+F67)*Podesavanja!$B$24</f>
        <v>0</v>
      </c>
      <c r="H67" s="1">
        <f t="shared" si="1"/>
        <v>0</v>
      </c>
      <c r="I67" s="1">
        <f t="shared" si="2"/>
        <v>0</v>
      </c>
      <c r="J67" s="7"/>
      <c r="K67" s="1">
        <f t="shared" si="3"/>
        <v>0</v>
      </c>
      <c r="L67" s="1">
        <f t="shared" si="4"/>
        <v>0</v>
      </c>
    </row>
    <row r="68" ht="14.25" customHeight="1">
      <c r="A68" s="7"/>
      <c r="B68" s="7"/>
      <c r="C68" s="1">
        <f>SUMIF(Recepture!$A$4:$A$500,A68,Recepture!$F$4:$F$500)</f>
        <v>0</v>
      </c>
      <c r="D68" s="7"/>
      <c r="E68" s="1">
        <f>D68/60*Podesavanja!$B$7</f>
        <v>0</v>
      </c>
      <c r="F68" s="1">
        <f>(C68+E68)*Podesavanja!$B$8</f>
        <v>0</v>
      </c>
      <c r="G68" s="1">
        <f>(C68+E68+F68)*Podesavanja!$B$24</f>
        <v>0</v>
      </c>
      <c r="H68" s="1">
        <f t="shared" si="1"/>
        <v>0</v>
      </c>
      <c r="I68" s="1">
        <f t="shared" si="2"/>
        <v>0</v>
      </c>
      <c r="J68" s="7"/>
      <c r="K68" s="1">
        <f t="shared" si="3"/>
        <v>0</v>
      </c>
      <c r="L68" s="1">
        <f t="shared" si="4"/>
        <v>0</v>
      </c>
    </row>
    <row r="69" ht="14.25" customHeight="1">
      <c r="A69" s="7"/>
      <c r="B69" s="7"/>
      <c r="C69" s="1">
        <f>SUMIF(Recepture!$A$4:$A$500,A69,Recepture!$F$4:$F$500)</f>
        <v>0</v>
      </c>
      <c r="D69" s="7"/>
      <c r="E69" s="1">
        <f>D69/60*Podesavanja!$B$7</f>
        <v>0</v>
      </c>
      <c r="F69" s="1">
        <f>(C69+E69)*Podesavanja!$B$8</f>
        <v>0</v>
      </c>
      <c r="G69" s="1">
        <f>(C69+E69+F69)*Podesavanja!$B$24</f>
        <v>0</v>
      </c>
      <c r="H69" s="1">
        <f t="shared" si="1"/>
        <v>0</v>
      </c>
      <c r="I69" s="1">
        <f t="shared" si="2"/>
        <v>0</v>
      </c>
      <c r="J69" s="7"/>
      <c r="K69" s="1">
        <f t="shared" si="3"/>
        <v>0</v>
      </c>
      <c r="L69" s="1">
        <f t="shared" si="4"/>
        <v>0</v>
      </c>
    </row>
    <row r="70" ht="14.25" customHeight="1">
      <c r="A70" s="7"/>
      <c r="B70" s="7"/>
      <c r="C70" s="1">
        <f>SUMIF(Recepture!$A$4:$A$500,A70,Recepture!$F$4:$F$500)</f>
        <v>0</v>
      </c>
      <c r="D70" s="7"/>
      <c r="E70" s="1">
        <f>D70/60*Podesavanja!$B$7</f>
        <v>0</v>
      </c>
      <c r="F70" s="1">
        <f>(C70+E70)*Podesavanja!$B$8</f>
        <v>0</v>
      </c>
      <c r="G70" s="1">
        <f>(C70+E70+F70)*Podesavanja!$B$24</f>
        <v>0</v>
      </c>
      <c r="H70" s="1">
        <f t="shared" si="1"/>
        <v>0</v>
      </c>
      <c r="I70" s="1">
        <f t="shared" si="2"/>
        <v>0</v>
      </c>
      <c r="J70" s="7"/>
      <c r="K70" s="1">
        <f t="shared" si="3"/>
        <v>0</v>
      </c>
      <c r="L70" s="1">
        <f t="shared" si="4"/>
        <v>0</v>
      </c>
    </row>
    <row r="71" ht="14.25" customHeight="1">
      <c r="A71" s="7"/>
      <c r="B71" s="7"/>
      <c r="C71" s="1">
        <f>SUMIF(Recepture!$A$4:$A$500,A71,Recepture!$F$4:$F$500)</f>
        <v>0</v>
      </c>
      <c r="D71" s="7"/>
      <c r="E71" s="1">
        <f>D71/60*Podesavanja!$B$7</f>
        <v>0</v>
      </c>
      <c r="F71" s="1">
        <f>(C71+E71)*Podesavanja!$B$8</f>
        <v>0</v>
      </c>
      <c r="G71" s="1">
        <f>(C71+E71+F71)*Podesavanja!$B$24</f>
        <v>0</v>
      </c>
      <c r="H71" s="1">
        <f t="shared" si="1"/>
        <v>0</v>
      </c>
      <c r="I71" s="1">
        <f t="shared" si="2"/>
        <v>0</v>
      </c>
      <c r="J71" s="7"/>
      <c r="K71" s="1">
        <f t="shared" si="3"/>
        <v>0</v>
      </c>
      <c r="L71" s="1">
        <f t="shared" si="4"/>
        <v>0</v>
      </c>
    </row>
    <row r="72" ht="14.25" customHeight="1">
      <c r="A72" s="7"/>
      <c r="B72" s="7"/>
      <c r="C72" s="1">
        <f>SUMIF(Recepture!$A$4:$A$500,A72,Recepture!$F$4:$F$500)</f>
        <v>0</v>
      </c>
      <c r="D72" s="7"/>
      <c r="E72" s="1">
        <f>D72/60*Podesavanja!$B$7</f>
        <v>0</v>
      </c>
      <c r="F72" s="1">
        <f>(C72+E72)*Podesavanja!$B$8</f>
        <v>0</v>
      </c>
      <c r="G72" s="1">
        <f>(C72+E72+F72)*Podesavanja!$B$24</f>
        <v>0</v>
      </c>
      <c r="H72" s="1">
        <f t="shared" si="1"/>
        <v>0</v>
      </c>
      <c r="I72" s="1">
        <f t="shared" si="2"/>
        <v>0</v>
      </c>
      <c r="J72" s="7"/>
      <c r="K72" s="1">
        <f t="shared" si="3"/>
        <v>0</v>
      </c>
      <c r="L72" s="1">
        <f t="shared" si="4"/>
        <v>0</v>
      </c>
    </row>
    <row r="73" ht="14.25" customHeight="1">
      <c r="A73" s="7"/>
      <c r="B73" s="7"/>
      <c r="C73" s="1">
        <f>SUMIF(Recepture!$A$4:$A$500,A73,Recepture!$F$4:$F$500)</f>
        <v>0</v>
      </c>
      <c r="D73" s="7"/>
      <c r="E73" s="1">
        <f>D73/60*Podesavanja!$B$7</f>
        <v>0</v>
      </c>
      <c r="F73" s="1">
        <f>(C73+E73)*Podesavanja!$B$8</f>
        <v>0</v>
      </c>
      <c r="G73" s="1">
        <f>(C73+E73+F73)*Podesavanja!$B$24</f>
        <v>0</v>
      </c>
      <c r="H73" s="1">
        <f t="shared" si="1"/>
        <v>0</v>
      </c>
      <c r="I73" s="1">
        <f t="shared" si="2"/>
        <v>0</v>
      </c>
      <c r="J73" s="7"/>
      <c r="K73" s="1">
        <f t="shared" si="3"/>
        <v>0</v>
      </c>
      <c r="L73" s="1">
        <f t="shared" si="4"/>
        <v>0</v>
      </c>
    </row>
    <row r="74" ht="14.25" customHeight="1">
      <c r="A74" s="7"/>
      <c r="B74" s="7"/>
      <c r="C74" s="1">
        <f>SUMIF(Recepture!$A$4:$A$500,A74,Recepture!$F$4:$F$500)</f>
        <v>0</v>
      </c>
      <c r="D74" s="7"/>
      <c r="E74" s="1">
        <f>D74/60*Podesavanja!$B$7</f>
        <v>0</v>
      </c>
      <c r="F74" s="1">
        <f>(C74+E74)*Podesavanja!$B$8</f>
        <v>0</v>
      </c>
      <c r="G74" s="1">
        <f>(C74+E74+F74)*Podesavanja!$B$24</f>
        <v>0</v>
      </c>
      <c r="H74" s="1">
        <f t="shared" si="1"/>
        <v>0</v>
      </c>
      <c r="I74" s="1">
        <f t="shared" si="2"/>
        <v>0</v>
      </c>
      <c r="J74" s="7"/>
      <c r="K74" s="1">
        <f t="shared" si="3"/>
        <v>0</v>
      </c>
      <c r="L74" s="1">
        <f t="shared" si="4"/>
        <v>0</v>
      </c>
    </row>
    <row r="75" ht="14.25" customHeight="1">
      <c r="A75" s="7"/>
      <c r="B75" s="7"/>
      <c r="C75" s="1">
        <f>SUMIF(Recepture!$A$4:$A$500,A75,Recepture!$F$4:$F$500)</f>
        <v>0</v>
      </c>
      <c r="D75" s="7"/>
      <c r="E75" s="1">
        <f>D75/60*Podesavanja!$B$7</f>
        <v>0</v>
      </c>
      <c r="F75" s="1">
        <f>(C75+E75)*Podesavanja!$B$8</f>
        <v>0</v>
      </c>
      <c r="G75" s="1">
        <f>(C75+E75+F75)*Podesavanja!$B$24</f>
        <v>0</v>
      </c>
      <c r="H75" s="1">
        <f t="shared" si="1"/>
        <v>0</v>
      </c>
      <c r="I75" s="1">
        <f t="shared" si="2"/>
        <v>0</v>
      </c>
      <c r="J75" s="7"/>
      <c r="K75" s="1">
        <f t="shared" si="3"/>
        <v>0</v>
      </c>
      <c r="L75" s="1">
        <f t="shared" si="4"/>
        <v>0</v>
      </c>
    </row>
    <row r="76" ht="14.25" customHeight="1">
      <c r="A76" s="7"/>
      <c r="B76" s="7"/>
      <c r="C76" s="1">
        <f>SUMIF(Recepture!$A$4:$A$500,A76,Recepture!$F$4:$F$500)</f>
        <v>0</v>
      </c>
      <c r="D76" s="7"/>
      <c r="E76" s="1">
        <f>D76/60*Podesavanja!$B$7</f>
        <v>0</v>
      </c>
      <c r="F76" s="1">
        <f>(C76+E76)*Podesavanja!$B$8</f>
        <v>0</v>
      </c>
      <c r="G76" s="1">
        <f>(C76+E76+F76)*Podesavanja!$B$24</f>
        <v>0</v>
      </c>
      <c r="H76" s="1">
        <f t="shared" si="1"/>
        <v>0</v>
      </c>
      <c r="I76" s="1">
        <f t="shared" si="2"/>
        <v>0</v>
      </c>
      <c r="J76" s="7"/>
      <c r="K76" s="1">
        <f t="shared" si="3"/>
        <v>0</v>
      </c>
      <c r="L76" s="1">
        <f t="shared" si="4"/>
        <v>0</v>
      </c>
    </row>
    <row r="77" ht="14.25" customHeight="1">
      <c r="A77" s="7"/>
      <c r="B77" s="7"/>
      <c r="C77" s="1">
        <f>SUMIF(Recepture!$A$4:$A$500,A77,Recepture!$F$4:$F$500)</f>
        <v>0</v>
      </c>
      <c r="D77" s="7"/>
      <c r="E77" s="1">
        <f>D77/60*Podesavanja!$B$7</f>
        <v>0</v>
      </c>
      <c r="F77" s="1">
        <f>(C77+E77)*Podesavanja!$B$8</f>
        <v>0</v>
      </c>
      <c r="G77" s="1">
        <f>(C77+E77+F77)*Podesavanja!$B$24</f>
        <v>0</v>
      </c>
      <c r="H77" s="1">
        <f t="shared" si="1"/>
        <v>0</v>
      </c>
      <c r="I77" s="1">
        <f t="shared" si="2"/>
        <v>0</v>
      </c>
      <c r="J77" s="7"/>
      <c r="K77" s="1">
        <f t="shared" si="3"/>
        <v>0</v>
      </c>
      <c r="L77" s="1">
        <f t="shared" si="4"/>
        <v>0</v>
      </c>
    </row>
    <row r="78" ht="14.25" customHeight="1">
      <c r="A78" s="7"/>
      <c r="B78" s="7"/>
      <c r="C78" s="1">
        <f>SUMIF(Recepture!$A$4:$A$500,A78,Recepture!$F$4:$F$500)</f>
        <v>0</v>
      </c>
      <c r="D78" s="7"/>
      <c r="E78" s="1">
        <f>D78/60*Podesavanja!$B$7</f>
        <v>0</v>
      </c>
      <c r="F78" s="1">
        <f>(C78+E78)*Podesavanja!$B$8</f>
        <v>0</v>
      </c>
      <c r="G78" s="1">
        <f>(C78+E78+F78)*Podesavanja!$B$24</f>
        <v>0</v>
      </c>
      <c r="H78" s="1">
        <f t="shared" si="1"/>
        <v>0</v>
      </c>
      <c r="I78" s="1">
        <f t="shared" si="2"/>
        <v>0</v>
      </c>
      <c r="J78" s="7"/>
      <c r="K78" s="1">
        <f t="shared" si="3"/>
        <v>0</v>
      </c>
      <c r="L78" s="1">
        <f t="shared" si="4"/>
        <v>0</v>
      </c>
    </row>
    <row r="79" ht="14.25" customHeight="1">
      <c r="A79" s="7"/>
      <c r="B79" s="7"/>
      <c r="C79" s="1">
        <f>SUMIF(Recepture!$A$4:$A$500,A79,Recepture!$F$4:$F$500)</f>
        <v>0</v>
      </c>
      <c r="D79" s="7"/>
      <c r="E79" s="1">
        <f>D79/60*Podesavanja!$B$7</f>
        <v>0</v>
      </c>
      <c r="F79" s="1">
        <f>(C79+E79)*Podesavanja!$B$8</f>
        <v>0</v>
      </c>
      <c r="G79" s="1">
        <f>(C79+E79+F79)*Podesavanja!$B$24</f>
        <v>0</v>
      </c>
      <c r="H79" s="1">
        <f t="shared" si="1"/>
        <v>0</v>
      </c>
      <c r="I79" s="1">
        <f t="shared" si="2"/>
        <v>0</v>
      </c>
      <c r="J79" s="7"/>
      <c r="K79" s="1">
        <f t="shared" si="3"/>
        <v>0</v>
      </c>
      <c r="L79" s="1">
        <f t="shared" si="4"/>
        <v>0</v>
      </c>
    </row>
    <row r="80" ht="14.25" customHeight="1">
      <c r="A80" s="7"/>
      <c r="B80" s="7"/>
      <c r="C80" s="1">
        <f>SUMIF(Recepture!$A$4:$A$500,A80,Recepture!$F$4:$F$500)</f>
        <v>0</v>
      </c>
      <c r="D80" s="7"/>
      <c r="E80" s="1">
        <f>D80/60*Podesavanja!$B$7</f>
        <v>0</v>
      </c>
      <c r="F80" s="1">
        <f>(C80+E80)*Podesavanja!$B$8</f>
        <v>0</v>
      </c>
      <c r="G80" s="1">
        <f>(C80+E80+F80)*Podesavanja!$B$24</f>
        <v>0</v>
      </c>
      <c r="H80" s="1">
        <f t="shared" si="1"/>
        <v>0</v>
      </c>
      <c r="I80" s="1">
        <f t="shared" si="2"/>
        <v>0</v>
      </c>
      <c r="J80" s="7"/>
      <c r="K80" s="1">
        <f t="shared" si="3"/>
        <v>0</v>
      </c>
      <c r="L80" s="1">
        <f t="shared" si="4"/>
        <v>0</v>
      </c>
    </row>
    <row r="81" ht="14.25" customHeight="1">
      <c r="A81" s="7"/>
      <c r="B81" s="7"/>
      <c r="C81" s="1">
        <f>SUMIF(Recepture!$A$4:$A$500,A81,Recepture!$F$4:$F$500)</f>
        <v>0</v>
      </c>
      <c r="D81" s="7"/>
      <c r="E81" s="1">
        <f>D81/60*Podesavanja!$B$7</f>
        <v>0</v>
      </c>
      <c r="F81" s="1">
        <f>(C81+E81)*Podesavanja!$B$8</f>
        <v>0</v>
      </c>
      <c r="G81" s="1">
        <f>(C81+E81+F81)*Podesavanja!$B$24</f>
        <v>0</v>
      </c>
      <c r="H81" s="1">
        <f t="shared" si="1"/>
        <v>0</v>
      </c>
      <c r="I81" s="1">
        <f t="shared" si="2"/>
        <v>0</v>
      </c>
      <c r="J81" s="7"/>
      <c r="K81" s="1">
        <f t="shared" si="3"/>
        <v>0</v>
      </c>
      <c r="L81" s="1">
        <f t="shared" si="4"/>
        <v>0</v>
      </c>
    </row>
    <row r="82" ht="14.25" customHeight="1">
      <c r="A82" s="7"/>
      <c r="B82" s="7"/>
      <c r="C82" s="1">
        <f>SUMIF(Recepture!$A$4:$A$500,A82,Recepture!$F$4:$F$500)</f>
        <v>0</v>
      </c>
      <c r="D82" s="7"/>
      <c r="E82" s="1">
        <f>D82/60*Podesavanja!$B$7</f>
        <v>0</v>
      </c>
      <c r="F82" s="1">
        <f>(C82+E82)*Podesavanja!$B$8</f>
        <v>0</v>
      </c>
      <c r="G82" s="1">
        <f>(C82+E82+F82)*Podesavanja!$B$24</f>
        <v>0</v>
      </c>
      <c r="H82" s="1">
        <f t="shared" si="1"/>
        <v>0</v>
      </c>
      <c r="I82" s="1">
        <f t="shared" si="2"/>
        <v>0</v>
      </c>
      <c r="J82" s="7"/>
      <c r="K82" s="1">
        <f t="shared" si="3"/>
        <v>0</v>
      </c>
      <c r="L82" s="1">
        <f t="shared" si="4"/>
        <v>0</v>
      </c>
    </row>
    <row r="83" ht="14.25" customHeight="1">
      <c r="A83" s="7"/>
      <c r="B83" s="7"/>
      <c r="C83" s="1">
        <f>SUMIF(Recepture!$A$4:$A$500,A83,Recepture!$F$4:$F$500)</f>
        <v>0</v>
      </c>
      <c r="D83" s="7"/>
      <c r="E83" s="1">
        <f>D83/60*Podesavanja!$B$7</f>
        <v>0</v>
      </c>
      <c r="F83" s="1">
        <f>(C83+E83)*Podesavanja!$B$8</f>
        <v>0</v>
      </c>
      <c r="G83" s="1">
        <f>(C83+E83+F83)*Podesavanja!$B$24</f>
        <v>0</v>
      </c>
      <c r="H83" s="1">
        <f t="shared" si="1"/>
        <v>0</v>
      </c>
      <c r="I83" s="1">
        <f t="shared" si="2"/>
        <v>0</v>
      </c>
      <c r="J83" s="7"/>
      <c r="K83" s="1">
        <f t="shared" si="3"/>
        <v>0</v>
      </c>
      <c r="L83" s="1">
        <f t="shared" si="4"/>
        <v>0</v>
      </c>
    </row>
    <row r="84" ht="14.25" customHeight="1">
      <c r="A84" s="7"/>
      <c r="B84" s="7"/>
      <c r="C84" s="1">
        <f>SUMIF(Recepture!$A$4:$A$500,A84,Recepture!$F$4:$F$500)</f>
        <v>0</v>
      </c>
      <c r="D84" s="7"/>
      <c r="E84" s="1">
        <f>D84/60*Podesavanja!$B$7</f>
        <v>0</v>
      </c>
      <c r="F84" s="1">
        <f>(C84+E84)*Podesavanja!$B$8</f>
        <v>0</v>
      </c>
      <c r="G84" s="1">
        <f>(C84+E84+F84)*Podesavanja!$B$24</f>
        <v>0</v>
      </c>
      <c r="H84" s="1">
        <f t="shared" si="1"/>
        <v>0</v>
      </c>
      <c r="I84" s="1">
        <f t="shared" si="2"/>
        <v>0</v>
      </c>
      <c r="J84" s="7"/>
      <c r="K84" s="1">
        <f t="shared" si="3"/>
        <v>0</v>
      </c>
      <c r="L84" s="1">
        <f t="shared" si="4"/>
        <v>0</v>
      </c>
    </row>
    <row r="85" ht="14.25" customHeight="1">
      <c r="A85" s="7"/>
      <c r="B85" s="7"/>
      <c r="C85" s="1">
        <f>SUMIF(Recepture!$A$4:$A$500,A85,Recepture!$F$4:$F$500)</f>
        <v>0</v>
      </c>
      <c r="D85" s="7"/>
      <c r="E85" s="1">
        <f>D85/60*Podesavanja!$B$7</f>
        <v>0</v>
      </c>
      <c r="F85" s="1">
        <f>(C85+E85)*Podesavanja!$B$8</f>
        <v>0</v>
      </c>
      <c r="G85" s="1">
        <f>(C85+E85+F85)*Podesavanja!$B$24</f>
        <v>0</v>
      </c>
      <c r="H85" s="1">
        <f t="shared" si="1"/>
        <v>0</v>
      </c>
      <c r="I85" s="1">
        <f t="shared" si="2"/>
        <v>0</v>
      </c>
      <c r="J85" s="7"/>
      <c r="K85" s="1">
        <f t="shared" si="3"/>
        <v>0</v>
      </c>
      <c r="L85" s="1">
        <f t="shared" si="4"/>
        <v>0</v>
      </c>
    </row>
    <row r="86" ht="14.25" customHeight="1">
      <c r="A86" s="7"/>
      <c r="B86" s="7"/>
      <c r="C86" s="1">
        <f>SUMIF(Recepture!$A$4:$A$500,A86,Recepture!$F$4:$F$500)</f>
        <v>0</v>
      </c>
      <c r="D86" s="7"/>
      <c r="E86" s="1">
        <f>D86/60*Podesavanja!$B$7</f>
        <v>0</v>
      </c>
      <c r="F86" s="1">
        <f>(C86+E86)*Podesavanja!$B$8</f>
        <v>0</v>
      </c>
      <c r="G86" s="1">
        <f>(C86+E86+F86)*Podesavanja!$B$24</f>
        <v>0</v>
      </c>
      <c r="H86" s="1">
        <f t="shared" si="1"/>
        <v>0</v>
      </c>
      <c r="I86" s="1">
        <f t="shared" si="2"/>
        <v>0</v>
      </c>
      <c r="J86" s="7"/>
      <c r="K86" s="1">
        <f t="shared" si="3"/>
        <v>0</v>
      </c>
      <c r="L86" s="1">
        <f t="shared" si="4"/>
        <v>0</v>
      </c>
    </row>
    <row r="87" ht="14.25" customHeight="1">
      <c r="A87" s="7"/>
      <c r="B87" s="7"/>
      <c r="C87" s="1">
        <f>SUMIF(Recepture!$A$4:$A$500,A87,Recepture!$F$4:$F$500)</f>
        <v>0</v>
      </c>
      <c r="D87" s="7"/>
      <c r="E87" s="1">
        <f>D87/60*Podesavanja!$B$7</f>
        <v>0</v>
      </c>
      <c r="F87" s="1">
        <f>(C87+E87)*Podesavanja!$B$8</f>
        <v>0</v>
      </c>
      <c r="G87" s="1">
        <f>(C87+E87+F87)*Podesavanja!$B$24</f>
        <v>0</v>
      </c>
      <c r="H87" s="1">
        <f t="shared" si="1"/>
        <v>0</v>
      </c>
      <c r="I87" s="1">
        <f t="shared" si="2"/>
        <v>0</v>
      </c>
      <c r="J87" s="7"/>
      <c r="K87" s="1">
        <f t="shared" si="3"/>
        <v>0</v>
      </c>
      <c r="L87" s="1">
        <f t="shared" si="4"/>
        <v>0</v>
      </c>
    </row>
    <row r="88" ht="14.25" customHeight="1">
      <c r="A88" s="7"/>
      <c r="B88" s="7"/>
      <c r="C88" s="1">
        <f>SUMIF(Recepture!$A$4:$A$500,A88,Recepture!$F$4:$F$500)</f>
        <v>0</v>
      </c>
      <c r="D88" s="7"/>
      <c r="E88" s="1">
        <f>D88/60*Podesavanja!$B$7</f>
        <v>0</v>
      </c>
      <c r="F88" s="1">
        <f>(C88+E88)*Podesavanja!$B$8</f>
        <v>0</v>
      </c>
      <c r="G88" s="1">
        <f>(C88+E88+F88)*Podesavanja!$B$24</f>
        <v>0</v>
      </c>
      <c r="H88" s="1">
        <f t="shared" si="1"/>
        <v>0</v>
      </c>
      <c r="I88" s="1">
        <f t="shared" si="2"/>
        <v>0</v>
      </c>
      <c r="J88" s="7"/>
      <c r="K88" s="1">
        <f t="shared" si="3"/>
        <v>0</v>
      </c>
      <c r="L88" s="1">
        <f t="shared" si="4"/>
        <v>0</v>
      </c>
    </row>
    <row r="89" ht="14.25" customHeight="1">
      <c r="A89" s="7"/>
      <c r="B89" s="7"/>
      <c r="C89" s="1">
        <f>SUMIF(Recepture!$A$4:$A$500,A89,Recepture!$F$4:$F$500)</f>
        <v>0</v>
      </c>
      <c r="D89" s="7"/>
      <c r="E89" s="1">
        <f>D89/60*Podesavanja!$B$7</f>
        <v>0</v>
      </c>
      <c r="F89" s="1">
        <f>(C89+E89)*Podesavanja!$B$8</f>
        <v>0</v>
      </c>
      <c r="G89" s="1">
        <f>(C89+E89+F89)*Podesavanja!$B$24</f>
        <v>0</v>
      </c>
      <c r="H89" s="1">
        <f t="shared" si="1"/>
        <v>0</v>
      </c>
      <c r="I89" s="1">
        <f t="shared" si="2"/>
        <v>0</v>
      </c>
      <c r="J89" s="7"/>
      <c r="K89" s="1">
        <f t="shared" si="3"/>
        <v>0</v>
      </c>
      <c r="L89" s="1">
        <f t="shared" si="4"/>
        <v>0</v>
      </c>
    </row>
    <row r="90" ht="14.25" customHeight="1">
      <c r="A90" s="7"/>
      <c r="B90" s="7"/>
      <c r="C90" s="1">
        <f>SUMIF(Recepture!$A$4:$A$500,A90,Recepture!$F$4:$F$500)</f>
        <v>0</v>
      </c>
      <c r="D90" s="7"/>
      <c r="E90" s="1">
        <f>D90/60*Podesavanja!$B$7</f>
        <v>0</v>
      </c>
      <c r="F90" s="1">
        <f>(C90+E90)*Podesavanja!$B$8</f>
        <v>0</v>
      </c>
      <c r="G90" s="1">
        <f>(C90+E90+F90)*Podesavanja!$B$24</f>
        <v>0</v>
      </c>
      <c r="H90" s="1">
        <f t="shared" si="1"/>
        <v>0</v>
      </c>
      <c r="I90" s="1">
        <f t="shared" si="2"/>
        <v>0</v>
      </c>
      <c r="J90" s="7"/>
      <c r="K90" s="1">
        <f t="shared" si="3"/>
        <v>0</v>
      </c>
      <c r="L90" s="1">
        <f t="shared" si="4"/>
        <v>0</v>
      </c>
    </row>
    <row r="91" ht="14.25" customHeight="1">
      <c r="A91" s="7"/>
      <c r="B91" s="7"/>
      <c r="C91" s="1">
        <f>SUMIF(Recepture!$A$4:$A$500,A91,Recepture!$F$4:$F$500)</f>
        <v>0</v>
      </c>
      <c r="D91" s="7"/>
      <c r="E91" s="1">
        <f>D91/60*Podesavanja!$B$7</f>
        <v>0</v>
      </c>
      <c r="F91" s="1">
        <f>(C91+E91)*Podesavanja!$B$8</f>
        <v>0</v>
      </c>
      <c r="G91" s="1">
        <f>(C91+E91+F91)*Podesavanja!$B$24</f>
        <v>0</v>
      </c>
      <c r="H91" s="1">
        <f t="shared" si="1"/>
        <v>0</v>
      </c>
      <c r="I91" s="1">
        <f t="shared" si="2"/>
        <v>0</v>
      </c>
      <c r="J91" s="7"/>
      <c r="K91" s="1">
        <f t="shared" si="3"/>
        <v>0</v>
      </c>
      <c r="L91" s="1">
        <f t="shared" si="4"/>
        <v>0</v>
      </c>
    </row>
    <row r="92" ht="14.25" customHeight="1">
      <c r="A92" s="7"/>
      <c r="B92" s="7"/>
      <c r="C92" s="1">
        <f>SUMIF(Recepture!$A$4:$A$500,A92,Recepture!$F$4:$F$500)</f>
        <v>0</v>
      </c>
      <c r="D92" s="7"/>
      <c r="E92" s="1">
        <f>D92/60*Podesavanja!$B$7</f>
        <v>0</v>
      </c>
      <c r="F92" s="1">
        <f>(C92+E92)*Podesavanja!$B$8</f>
        <v>0</v>
      </c>
      <c r="G92" s="1">
        <f>(C92+E92+F92)*Podesavanja!$B$24</f>
        <v>0</v>
      </c>
      <c r="H92" s="1">
        <f t="shared" si="1"/>
        <v>0</v>
      </c>
      <c r="I92" s="1">
        <f t="shared" si="2"/>
        <v>0</v>
      </c>
      <c r="J92" s="7"/>
      <c r="K92" s="1">
        <f t="shared" si="3"/>
        <v>0</v>
      </c>
      <c r="L92" s="1">
        <f t="shared" si="4"/>
        <v>0</v>
      </c>
    </row>
    <row r="93" ht="14.25" customHeight="1">
      <c r="A93" s="7"/>
      <c r="B93" s="7"/>
      <c r="C93" s="1">
        <f>SUMIF(Recepture!$A$4:$A$500,A93,Recepture!$F$4:$F$500)</f>
        <v>0</v>
      </c>
      <c r="D93" s="7"/>
      <c r="E93" s="1">
        <f>D93/60*Podesavanja!$B$7</f>
        <v>0</v>
      </c>
      <c r="F93" s="1">
        <f>(C93+E93)*Podesavanja!$B$8</f>
        <v>0</v>
      </c>
      <c r="G93" s="1">
        <f>(C93+E93+F93)*Podesavanja!$B$24</f>
        <v>0</v>
      </c>
      <c r="H93" s="1">
        <f t="shared" si="1"/>
        <v>0</v>
      </c>
      <c r="I93" s="1">
        <f t="shared" si="2"/>
        <v>0</v>
      </c>
      <c r="J93" s="7"/>
      <c r="K93" s="1">
        <f t="shared" si="3"/>
        <v>0</v>
      </c>
      <c r="L93" s="1">
        <f t="shared" si="4"/>
        <v>0</v>
      </c>
    </row>
    <row r="94" ht="14.25" customHeight="1">
      <c r="A94" s="7"/>
      <c r="B94" s="7"/>
      <c r="C94" s="1">
        <f>SUMIF(Recepture!$A$4:$A$500,A94,Recepture!$F$4:$F$500)</f>
        <v>0</v>
      </c>
      <c r="D94" s="7"/>
      <c r="E94" s="1">
        <f>D94/60*Podesavanja!$B$7</f>
        <v>0</v>
      </c>
      <c r="F94" s="1">
        <f>(C94+E94)*Podesavanja!$B$8</f>
        <v>0</v>
      </c>
      <c r="G94" s="1">
        <f>(C94+E94+F94)*Podesavanja!$B$24</f>
        <v>0</v>
      </c>
      <c r="H94" s="1">
        <f t="shared" si="1"/>
        <v>0</v>
      </c>
      <c r="I94" s="1">
        <f t="shared" si="2"/>
        <v>0</v>
      </c>
      <c r="J94" s="7"/>
      <c r="K94" s="1">
        <f t="shared" si="3"/>
        <v>0</v>
      </c>
      <c r="L94" s="1">
        <f t="shared" si="4"/>
        <v>0</v>
      </c>
    </row>
    <row r="95" ht="14.25" customHeight="1">
      <c r="A95" s="7"/>
      <c r="B95" s="7"/>
      <c r="C95" s="1">
        <f>SUMIF(Recepture!$A$4:$A$500,A95,Recepture!$F$4:$F$500)</f>
        <v>0</v>
      </c>
      <c r="D95" s="7"/>
      <c r="E95" s="1">
        <f>D95/60*Podesavanja!$B$7</f>
        <v>0</v>
      </c>
      <c r="F95" s="1">
        <f>(C95+E95)*Podesavanja!$B$8</f>
        <v>0</v>
      </c>
      <c r="G95" s="1">
        <f>(C95+E95+F95)*Podesavanja!$B$24</f>
        <v>0</v>
      </c>
      <c r="H95" s="1">
        <f t="shared" si="1"/>
        <v>0</v>
      </c>
      <c r="I95" s="1">
        <f t="shared" si="2"/>
        <v>0</v>
      </c>
      <c r="J95" s="7"/>
      <c r="K95" s="1">
        <f t="shared" si="3"/>
        <v>0</v>
      </c>
      <c r="L95" s="1">
        <f t="shared" si="4"/>
        <v>0</v>
      </c>
    </row>
    <row r="96" ht="14.25" customHeight="1">
      <c r="A96" s="7"/>
      <c r="B96" s="7"/>
      <c r="C96" s="1">
        <f>SUMIF(Recepture!$A$4:$A$500,A96,Recepture!$F$4:$F$500)</f>
        <v>0</v>
      </c>
      <c r="D96" s="7"/>
      <c r="E96" s="1">
        <f>D96/60*Podesavanja!$B$7</f>
        <v>0</v>
      </c>
      <c r="F96" s="1">
        <f>(C96+E96)*Podesavanja!$B$8</f>
        <v>0</v>
      </c>
      <c r="G96" s="1">
        <f>(C96+E96+F96)*Podesavanja!$B$24</f>
        <v>0</v>
      </c>
      <c r="H96" s="1">
        <f t="shared" si="1"/>
        <v>0</v>
      </c>
      <c r="I96" s="1">
        <f t="shared" si="2"/>
        <v>0</v>
      </c>
      <c r="J96" s="7"/>
      <c r="K96" s="1">
        <f t="shared" si="3"/>
        <v>0</v>
      </c>
      <c r="L96" s="1">
        <f t="shared" si="4"/>
        <v>0</v>
      </c>
    </row>
    <row r="97" ht="14.25" customHeight="1">
      <c r="A97" s="7"/>
      <c r="B97" s="7"/>
      <c r="C97" s="1">
        <f>SUMIF(Recepture!$A$4:$A$500,A97,Recepture!$F$4:$F$500)</f>
        <v>0</v>
      </c>
      <c r="D97" s="7"/>
      <c r="E97" s="1">
        <f>D97/60*Podesavanja!$B$7</f>
        <v>0</v>
      </c>
      <c r="F97" s="1">
        <f>(C97+E97)*Podesavanja!$B$8</f>
        <v>0</v>
      </c>
      <c r="G97" s="1">
        <f>(C97+E97+F97)*Podesavanja!$B$24</f>
        <v>0</v>
      </c>
      <c r="H97" s="1">
        <f t="shared" si="1"/>
        <v>0</v>
      </c>
      <c r="I97" s="1">
        <f t="shared" si="2"/>
        <v>0</v>
      </c>
      <c r="J97" s="7"/>
      <c r="K97" s="1">
        <f t="shared" si="3"/>
        <v>0</v>
      </c>
      <c r="L97" s="1">
        <f t="shared" si="4"/>
        <v>0</v>
      </c>
    </row>
    <row r="98" ht="14.25" customHeight="1">
      <c r="A98" s="7"/>
      <c r="B98" s="7"/>
      <c r="C98" s="1">
        <f>SUMIF(Recepture!$A$4:$A$500,A98,Recepture!$F$4:$F$500)</f>
        <v>0</v>
      </c>
      <c r="D98" s="7"/>
      <c r="E98" s="1">
        <f>D98/60*Podesavanja!$B$7</f>
        <v>0</v>
      </c>
      <c r="F98" s="1">
        <f>(C98+E98)*Podesavanja!$B$8</f>
        <v>0</v>
      </c>
      <c r="G98" s="1">
        <f>(C98+E98+F98)*Podesavanja!$B$24</f>
        <v>0</v>
      </c>
      <c r="H98" s="1">
        <f t="shared" si="1"/>
        <v>0</v>
      </c>
      <c r="I98" s="1">
        <f t="shared" si="2"/>
        <v>0</v>
      </c>
      <c r="J98" s="7"/>
      <c r="K98" s="1">
        <f t="shared" si="3"/>
        <v>0</v>
      </c>
      <c r="L98" s="1">
        <f t="shared" si="4"/>
        <v>0</v>
      </c>
    </row>
    <row r="99" ht="14.25" customHeight="1">
      <c r="A99" s="7"/>
      <c r="B99" s="7"/>
      <c r="C99" s="1">
        <f>SUMIF(Recepture!$A$4:$A$500,A99,Recepture!$F$4:$F$500)</f>
        <v>0</v>
      </c>
      <c r="D99" s="7"/>
      <c r="E99" s="1">
        <f>D99/60*Podesavanja!$B$7</f>
        <v>0</v>
      </c>
      <c r="F99" s="1">
        <f>(C99+E99)*Podesavanja!$B$8</f>
        <v>0</v>
      </c>
      <c r="G99" s="1">
        <f>(C99+E99+F99)*Podesavanja!$B$24</f>
        <v>0</v>
      </c>
      <c r="H99" s="1">
        <f t="shared" si="1"/>
        <v>0</v>
      </c>
      <c r="I99" s="1">
        <f t="shared" si="2"/>
        <v>0</v>
      </c>
      <c r="J99" s="7"/>
      <c r="K99" s="1">
        <f t="shared" si="3"/>
        <v>0</v>
      </c>
      <c r="L99" s="1">
        <f t="shared" si="4"/>
        <v>0</v>
      </c>
    </row>
    <row r="100" ht="14.25" customHeight="1">
      <c r="A100" s="7"/>
      <c r="B100" s="7"/>
      <c r="C100" s="1">
        <f>SUMIF(Recepture!$A$4:$A$500,A100,Recepture!$F$4:$F$500)</f>
        <v>0</v>
      </c>
      <c r="D100" s="7"/>
      <c r="E100" s="1">
        <f>D100/60*Podesavanja!$B$7</f>
        <v>0</v>
      </c>
      <c r="F100" s="1">
        <f>(C100+E100)*Podesavanja!$B$8</f>
        <v>0</v>
      </c>
      <c r="G100" s="1">
        <f>(C100+E100+F100)*Podesavanja!$B$24</f>
        <v>0</v>
      </c>
      <c r="H100" s="1">
        <f t="shared" si="1"/>
        <v>0</v>
      </c>
      <c r="I100" s="1">
        <f t="shared" si="2"/>
        <v>0</v>
      </c>
      <c r="J100" s="7"/>
      <c r="K100" s="1">
        <f t="shared" si="3"/>
        <v>0</v>
      </c>
      <c r="L100" s="1">
        <f t="shared" si="4"/>
        <v>0</v>
      </c>
    </row>
    <row r="101" ht="14.25" customHeight="1">
      <c r="A101" s="7"/>
      <c r="B101" s="7"/>
      <c r="C101" s="1">
        <f>SUMIF(Recepture!$A$4:$A$500,A101,Recepture!$F$4:$F$500)</f>
        <v>0</v>
      </c>
      <c r="D101" s="7"/>
      <c r="E101" s="1">
        <f>D101/60*Podesavanja!$B$7</f>
        <v>0</v>
      </c>
      <c r="F101" s="1">
        <f>(C101+E101)*Podesavanja!$B$8</f>
        <v>0</v>
      </c>
      <c r="G101" s="1">
        <f>(C101+E101+F101)*Podesavanja!$B$24</f>
        <v>0</v>
      </c>
      <c r="H101" s="1">
        <f t="shared" si="1"/>
        <v>0</v>
      </c>
      <c r="I101" s="1">
        <f t="shared" si="2"/>
        <v>0</v>
      </c>
      <c r="J101" s="7"/>
      <c r="K101" s="1">
        <f t="shared" si="3"/>
        <v>0</v>
      </c>
      <c r="L101" s="1">
        <f t="shared" si="4"/>
        <v>0</v>
      </c>
    </row>
    <row r="102" ht="14.25" customHeight="1">
      <c r="A102" s="7"/>
      <c r="B102" s="7"/>
      <c r="C102" s="1">
        <f>SUMIF(Recepture!$A$4:$A$500,A102,Recepture!$F$4:$F$500)</f>
        <v>0</v>
      </c>
      <c r="D102" s="7"/>
      <c r="E102" s="1">
        <f>D102/60*Podesavanja!$B$7</f>
        <v>0</v>
      </c>
      <c r="F102" s="1">
        <f>(C102+E102)*Podesavanja!$B$8</f>
        <v>0</v>
      </c>
      <c r="G102" s="1">
        <f>(C102+E102+F102)*Podesavanja!$B$24</f>
        <v>0</v>
      </c>
      <c r="H102" s="1">
        <f t="shared" si="1"/>
        <v>0</v>
      </c>
      <c r="I102" s="1">
        <f t="shared" si="2"/>
        <v>0</v>
      </c>
      <c r="J102" s="7"/>
      <c r="K102" s="1">
        <f t="shared" si="3"/>
        <v>0</v>
      </c>
      <c r="L102" s="1">
        <f t="shared" si="4"/>
        <v>0</v>
      </c>
    </row>
    <row r="103" ht="14.25" customHeight="1">
      <c r="A103" s="7"/>
      <c r="B103" s="7"/>
      <c r="C103" s="1">
        <f>SUMIF(Recepture!$A$4:$A$500,A103,Recepture!$F$4:$F$500)</f>
        <v>0</v>
      </c>
      <c r="D103" s="7"/>
      <c r="E103" s="1">
        <f>D103/60*Podesavanja!$B$7</f>
        <v>0</v>
      </c>
      <c r="F103" s="1">
        <f>(C103+E103)*Podesavanja!$B$8</f>
        <v>0</v>
      </c>
      <c r="G103" s="1">
        <f>(C103+E103+F103)*Podesavanja!$B$24</f>
        <v>0</v>
      </c>
      <c r="H103" s="1">
        <f t="shared" si="1"/>
        <v>0</v>
      </c>
      <c r="I103" s="1">
        <f t="shared" si="2"/>
        <v>0</v>
      </c>
      <c r="J103" s="7"/>
      <c r="K103" s="1">
        <f t="shared" si="3"/>
        <v>0</v>
      </c>
      <c r="L103" s="1">
        <f t="shared" si="4"/>
        <v>0</v>
      </c>
    </row>
    <row r="104" ht="14.25" customHeight="1">
      <c r="A104" s="7"/>
      <c r="B104" s="7"/>
      <c r="C104" s="1">
        <f>SUMIF(Recepture!$A$4:$A$500,A104,Recepture!$F$4:$F$500)</f>
        <v>0</v>
      </c>
      <c r="D104" s="7"/>
      <c r="E104" s="1">
        <f>D104/60*Podesavanja!$B$7</f>
        <v>0</v>
      </c>
      <c r="F104" s="1">
        <f>(C104+E104)*Podesavanja!$B$8</f>
        <v>0</v>
      </c>
      <c r="G104" s="1">
        <f>(C104+E104+F104)*Podesavanja!$B$24</f>
        <v>0</v>
      </c>
      <c r="H104" s="1">
        <f t="shared" si="1"/>
        <v>0</v>
      </c>
      <c r="I104" s="1">
        <f t="shared" si="2"/>
        <v>0</v>
      </c>
      <c r="J104" s="7"/>
      <c r="K104" s="1">
        <f t="shared" si="3"/>
        <v>0</v>
      </c>
      <c r="L104" s="1">
        <f t="shared" si="4"/>
        <v>0</v>
      </c>
    </row>
    <row r="105" ht="14.25" customHeight="1">
      <c r="A105" s="7"/>
      <c r="B105" s="7"/>
      <c r="C105" s="1">
        <f>SUMIF(Recepture!$A$4:$A$500,A105,Recepture!$F$4:$F$500)</f>
        <v>0</v>
      </c>
      <c r="D105" s="7"/>
      <c r="E105" s="1">
        <f>D105/60*Podesavanja!$B$7</f>
        <v>0</v>
      </c>
      <c r="F105" s="1">
        <f>(C105+E105)*Podesavanja!$B$8</f>
        <v>0</v>
      </c>
      <c r="G105" s="1">
        <f>(C105+E105+F105)*Podesavanja!$B$24</f>
        <v>0</v>
      </c>
      <c r="H105" s="1">
        <f t="shared" si="1"/>
        <v>0</v>
      </c>
      <c r="I105" s="1">
        <f t="shared" si="2"/>
        <v>0</v>
      </c>
      <c r="J105" s="7"/>
      <c r="K105" s="1">
        <f t="shared" si="3"/>
        <v>0</v>
      </c>
      <c r="L105" s="1">
        <f t="shared" si="4"/>
        <v>0</v>
      </c>
    </row>
    <row r="106" ht="14.25" customHeight="1">
      <c r="A106" s="7"/>
      <c r="B106" s="7"/>
      <c r="C106" s="1">
        <f>SUMIF(Recepture!$A$4:$A$500,A106,Recepture!$F$4:$F$500)</f>
        <v>0</v>
      </c>
      <c r="D106" s="7"/>
      <c r="E106" s="1">
        <f>D106/60*Podesavanja!$B$7</f>
        <v>0</v>
      </c>
      <c r="F106" s="1">
        <f>(C106+E106)*Podesavanja!$B$8</f>
        <v>0</v>
      </c>
      <c r="G106" s="1">
        <f>(C106+E106+F106)*Podesavanja!$B$24</f>
        <v>0</v>
      </c>
      <c r="H106" s="1">
        <f t="shared" si="1"/>
        <v>0</v>
      </c>
      <c r="I106" s="1">
        <f t="shared" si="2"/>
        <v>0</v>
      </c>
      <c r="J106" s="7"/>
      <c r="K106" s="1">
        <f t="shared" si="3"/>
        <v>0</v>
      </c>
      <c r="L106" s="1">
        <f t="shared" si="4"/>
        <v>0</v>
      </c>
    </row>
    <row r="107" ht="14.25" customHeight="1">
      <c r="A107" s="7"/>
      <c r="B107" s="7"/>
      <c r="C107" s="1">
        <f>SUMIF(Recepture!$A$4:$A$500,A107,Recepture!$F$4:$F$500)</f>
        <v>0</v>
      </c>
      <c r="D107" s="7"/>
      <c r="E107" s="1">
        <f>D107/60*Podesavanja!$B$7</f>
        <v>0</v>
      </c>
      <c r="F107" s="1">
        <f>(C107+E107)*Podesavanja!$B$8</f>
        <v>0</v>
      </c>
      <c r="G107" s="1">
        <f>(C107+E107+F107)*Podesavanja!$B$24</f>
        <v>0</v>
      </c>
      <c r="H107" s="1">
        <f t="shared" si="1"/>
        <v>0</v>
      </c>
      <c r="I107" s="1">
        <f t="shared" si="2"/>
        <v>0</v>
      </c>
      <c r="J107" s="7"/>
      <c r="K107" s="1">
        <f t="shared" si="3"/>
        <v>0</v>
      </c>
      <c r="L107" s="1">
        <f t="shared" si="4"/>
        <v>0</v>
      </c>
    </row>
    <row r="108" ht="14.25" customHeight="1">
      <c r="A108" s="7"/>
      <c r="B108" s="7"/>
      <c r="C108" s="1">
        <f>SUMIF(Recepture!$A$4:$A$500,A108,Recepture!$F$4:$F$500)</f>
        <v>0</v>
      </c>
      <c r="D108" s="7"/>
      <c r="E108" s="1">
        <f>D108/60*Podesavanja!$B$7</f>
        <v>0</v>
      </c>
      <c r="F108" s="1">
        <f>(C108+E108)*Podesavanja!$B$8</f>
        <v>0</v>
      </c>
      <c r="G108" s="1">
        <f>(C108+E108+F108)*Podesavanja!$B$24</f>
        <v>0</v>
      </c>
      <c r="H108" s="1">
        <f t="shared" si="1"/>
        <v>0</v>
      </c>
      <c r="I108" s="1">
        <f t="shared" si="2"/>
        <v>0</v>
      </c>
      <c r="J108" s="7"/>
      <c r="K108" s="1">
        <f t="shared" si="3"/>
        <v>0</v>
      </c>
      <c r="L108" s="1">
        <f t="shared" si="4"/>
        <v>0</v>
      </c>
    </row>
    <row r="109" ht="14.25" customHeight="1">
      <c r="A109" s="7"/>
      <c r="B109" s="7"/>
      <c r="C109" s="1">
        <f>SUMIF(Recepture!$A$4:$A$500,A109,Recepture!$F$4:$F$500)</f>
        <v>0</v>
      </c>
      <c r="D109" s="7"/>
      <c r="E109" s="1">
        <f>D109/60*Podesavanja!$B$7</f>
        <v>0</v>
      </c>
      <c r="F109" s="1">
        <f>(C109+E109)*Podesavanja!$B$8</f>
        <v>0</v>
      </c>
      <c r="G109" s="1">
        <f>(C109+E109+F109)*Podesavanja!$B$24</f>
        <v>0</v>
      </c>
      <c r="H109" s="1">
        <f t="shared" si="1"/>
        <v>0</v>
      </c>
      <c r="I109" s="1">
        <f t="shared" si="2"/>
        <v>0</v>
      </c>
      <c r="J109" s="7"/>
      <c r="K109" s="1">
        <f t="shared" si="3"/>
        <v>0</v>
      </c>
      <c r="L109" s="1">
        <f t="shared" si="4"/>
        <v>0</v>
      </c>
    </row>
    <row r="110" ht="14.25" customHeight="1">
      <c r="A110" s="7"/>
      <c r="B110" s="7"/>
      <c r="C110" s="1">
        <f>SUMIF(Recepture!$A$4:$A$500,A110,Recepture!$F$4:$F$500)</f>
        <v>0</v>
      </c>
      <c r="D110" s="7"/>
      <c r="E110" s="1">
        <f>D110/60*Podesavanja!$B$7</f>
        <v>0</v>
      </c>
      <c r="F110" s="1">
        <f>(C110+E110)*Podesavanja!$B$8</f>
        <v>0</v>
      </c>
      <c r="G110" s="1">
        <f>(C110+E110+F110)*Podesavanja!$B$24</f>
        <v>0</v>
      </c>
      <c r="H110" s="1">
        <f t="shared" si="1"/>
        <v>0</v>
      </c>
      <c r="I110" s="1">
        <f t="shared" si="2"/>
        <v>0</v>
      </c>
      <c r="J110" s="7"/>
      <c r="K110" s="1">
        <f t="shared" si="3"/>
        <v>0</v>
      </c>
      <c r="L110" s="1">
        <f t="shared" si="4"/>
        <v>0</v>
      </c>
    </row>
    <row r="111" ht="14.25" customHeight="1">
      <c r="A111" s="7"/>
      <c r="B111" s="7"/>
      <c r="C111" s="1">
        <f>SUMIF(Recepture!$A$4:$A$500,A111,Recepture!$F$4:$F$500)</f>
        <v>0</v>
      </c>
      <c r="D111" s="7"/>
      <c r="E111" s="1">
        <f>D111/60*Podesavanja!$B$7</f>
        <v>0</v>
      </c>
      <c r="F111" s="1">
        <f>(C111+E111)*Podesavanja!$B$8</f>
        <v>0</v>
      </c>
      <c r="G111" s="1">
        <f>(C111+E111+F111)*Podesavanja!$B$24</f>
        <v>0</v>
      </c>
      <c r="H111" s="1">
        <f t="shared" si="1"/>
        <v>0</v>
      </c>
      <c r="I111" s="1">
        <f t="shared" si="2"/>
        <v>0</v>
      </c>
      <c r="J111" s="7"/>
      <c r="K111" s="1">
        <f t="shared" si="3"/>
        <v>0</v>
      </c>
      <c r="L111" s="1">
        <f t="shared" si="4"/>
        <v>0</v>
      </c>
    </row>
    <row r="112" ht="14.25" customHeight="1">
      <c r="A112" s="7"/>
      <c r="B112" s="7"/>
      <c r="C112" s="1">
        <f>SUMIF(Recepture!$A$4:$A$500,A112,Recepture!$F$4:$F$500)</f>
        <v>0</v>
      </c>
      <c r="D112" s="7"/>
      <c r="E112" s="1">
        <f>D112/60*Podesavanja!$B$7</f>
        <v>0</v>
      </c>
      <c r="F112" s="1">
        <f>(C112+E112)*Podesavanja!$B$8</f>
        <v>0</v>
      </c>
      <c r="G112" s="1">
        <f>(C112+E112+F112)*Podesavanja!$B$24</f>
        <v>0</v>
      </c>
      <c r="H112" s="1">
        <f t="shared" si="1"/>
        <v>0</v>
      </c>
      <c r="I112" s="1">
        <f t="shared" si="2"/>
        <v>0</v>
      </c>
      <c r="J112" s="7"/>
      <c r="K112" s="1">
        <f t="shared" si="3"/>
        <v>0</v>
      </c>
      <c r="L112" s="1">
        <f t="shared" si="4"/>
        <v>0</v>
      </c>
    </row>
    <row r="113" ht="14.25" customHeight="1">
      <c r="A113" s="7"/>
      <c r="B113" s="7"/>
      <c r="C113" s="1">
        <f>SUMIF(Recepture!$A$4:$A$500,A113,Recepture!$F$4:$F$500)</f>
        <v>0</v>
      </c>
      <c r="D113" s="7"/>
      <c r="E113" s="1">
        <f>D113/60*Podesavanja!$B$7</f>
        <v>0</v>
      </c>
      <c r="F113" s="1">
        <f>(C113+E113)*Podesavanja!$B$8</f>
        <v>0</v>
      </c>
      <c r="G113" s="1">
        <f>(C113+E113+F113)*Podesavanja!$B$24</f>
        <v>0</v>
      </c>
      <c r="H113" s="1">
        <f t="shared" si="1"/>
        <v>0</v>
      </c>
      <c r="I113" s="1">
        <f t="shared" si="2"/>
        <v>0</v>
      </c>
      <c r="J113" s="7"/>
      <c r="K113" s="1">
        <f t="shared" si="3"/>
        <v>0</v>
      </c>
      <c r="L113" s="1">
        <f t="shared" si="4"/>
        <v>0</v>
      </c>
    </row>
    <row r="114" ht="14.25" customHeight="1">
      <c r="A114" s="7"/>
      <c r="B114" s="7"/>
      <c r="C114" s="1">
        <f>SUMIF(Recepture!$A$4:$A$500,A114,Recepture!$F$4:$F$500)</f>
        <v>0</v>
      </c>
      <c r="D114" s="7"/>
      <c r="E114" s="1">
        <f>D114/60*Podesavanja!$B$7</f>
        <v>0</v>
      </c>
      <c r="F114" s="1">
        <f>(C114+E114)*Podesavanja!$B$8</f>
        <v>0</v>
      </c>
      <c r="G114" s="1">
        <f>(C114+E114+F114)*Podesavanja!$B$24</f>
        <v>0</v>
      </c>
      <c r="H114" s="1">
        <f t="shared" si="1"/>
        <v>0</v>
      </c>
      <c r="I114" s="1">
        <f t="shared" si="2"/>
        <v>0</v>
      </c>
      <c r="J114" s="7"/>
      <c r="K114" s="1">
        <f t="shared" si="3"/>
        <v>0</v>
      </c>
      <c r="L114" s="1">
        <f t="shared" si="4"/>
        <v>0</v>
      </c>
    </row>
    <row r="115" ht="14.25" customHeight="1">
      <c r="A115" s="7"/>
      <c r="B115" s="7"/>
      <c r="C115" s="1">
        <f>SUMIF(Recepture!$A$4:$A$500,A115,Recepture!$F$4:$F$500)</f>
        <v>0</v>
      </c>
      <c r="D115" s="7"/>
      <c r="E115" s="1">
        <f>D115/60*Podesavanja!$B$7</f>
        <v>0</v>
      </c>
      <c r="F115" s="1">
        <f>(C115+E115)*Podesavanja!$B$8</f>
        <v>0</v>
      </c>
      <c r="G115" s="1">
        <f>(C115+E115+F115)*Podesavanja!$B$24</f>
        <v>0</v>
      </c>
      <c r="H115" s="1">
        <f t="shared" si="1"/>
        <v>0</v>
      </c>
      <c r="I115" s="1">
        <f t="shared" si="2"/>
        <v>0</v>
      </c>
      <c r="J115" s="7"/>
      <c r="K115" s="1">
        <f t="shared" si="3"/>
        <v>0</v>
      </c>
      <c r="L115" s="1">
        <f t="shared" si="4"/>
        <v>0</v>
      </c>
    </row>
    <row r="116" ht="14.25" customHeight="1">
      <c r="A116" s="7"/>
      <c r="B116" s="7"/>
      <c r="C116" s="1">
        <f>SUMIF(Recepture!$A$4:$A$500,A116,Recepture!$F$4:$F$500)</f>
        <v>0</v>
      </c>
      <c r="D116" s="7"/>
      <c r="E116" s="1">
        <f>D116/60*Podesavanja!$B$7</f>
        <v>0</v>
      </c>
      <c r="F116" s="1">
        <f>(C116+E116)*Podesavanja!$B$8</f>
        <v>0</v>
      </c>
      <c r="G116" s="1">
        <f>(C116+E116+F116)*Podesavanja!$B$24</f>
        <v>0</v>
      </c>
      <c r="H116" s="1">
        <f t="shared" si="1"/>
        <v>0</v>
      </c>
      <c r="I116" s="1">
        <f t="shared" si="2"/>
        <v>0</v>
      </c>
      <c r="J116" s="7"/>
      <c r="K116" s="1">
        <f t="shared" si="3"/>
        <v>0</v>
      </c>
      <c r="L116" s="1">
        <f t="shared" si="4"/>
        <v>0</v>
      </c>
    </row>
    <row r="117" ht="14.25" customHeight="1">
      <c r="A117" s="7"/>
      <c r="B117" s="7"/>
      <c r="C117" s="1">
        <f>SUMIF(Recepture!$A$4:$A$500,A117,Recepture!$F$4:$F$500)</f>
        <v>0</v>
      </c>
      <c r="D117" s="7"/>
      <c r="E117" s="1">
        <f>D117/60*Podesavanja!$B$7</f>
        <v>0</v>
      </c>
      <c r="F117" s="1">
        <f>(C117+E117)*Podesavanja!$B$8</f>
        <v>0</v>
      </c>
      <c r="G117" s="1">
        <f>(C117+E117+F117)*Podesavanja!$B$24</f>
        <v>0</v>
      </c>
      <c r="H117" s="1">
        <f t="shared" si="1"/>
        <v>0</v>
      </c>
      <c r="I117" s="1">
        <f t="shared" si="2"/>
        <v>0</v>
      </c>
      <c r="J117" s="7"/>
      <c r="K117" s="1">
        <f t="shared" si="3"/>
        <v>0</v>
      </c>
      <c r="L117" s="1">
        <f t="shared" si="4"/>
        <v>0</v>
      </c>
    </row>
    <row r="118" ht="14.25" customHeight="1">
      <c r="A118" s="7"/>
      <c r="B118" s="7"/>
      <c r="C118" s="1">
        <f>SUMIF(Recepture!$A$4:$A$500,A118,Recepture!$F$4:$F$500)</f>
        <v>0</v>
      </c>
      <c r="D118" s="7"/>
      <c r="E118" s="1">
        <f>D118/60*Podesavanja!$B$7</f>
        <v>0</v>
      </c>
      <c r="F118" s="1">
        <f>(C118+E118)*Podesavanja!$B$8</f>
        <v>0</v>
      </c>
      <c r="G118" s="1">
        <f>(C118+E118+F118)*Podesavanja!$B$24</f>
        <v>0</v>
      </c>
      <c r="H118" s="1">
        <f t="shared" si="1"/>
        <v>0</v>
      </c>
      <c r="I118" s="1">
        <f t="shared" si="2"/>
        <v>0</v>
      </c>
      <c r="J118" s="7"/>
      <c r="K118" s="1">
        <f t="shared" si="3"/>
        <v>0</v>
      </c>
      <c r="L118" s="1">
        <f t="shared" si="4"/>
        <v>0</v>
      </c>
    </row>
    <row r="119" ht="14.25" customHeight="1">
      <c r="A119" s="7"/>
      <c r="B119" s="7"/>
      <c r="C119" s="1">
        <f>SUMIF(Recepture!$A$4:$A$500,A119,Recepture!$F$4:$F$500)</f>
        <v>0</v>
      </c>
      <c r="D119" s="7"/>
      <c r="E119" s="1">
        <f>D119/60*Podesavanja!$B$7</f>
        <v>0</v>
      </c>
      <c r="F119" s="1">
        <f>(C119+E119)*Podesavanja!$B$8</f>
        <v>0</v>
      </c>
      <c r="G119" s="1">
        <f>(C119+E119+F119)*Podesavanja!$B$24</f>
        <v>0</v>
      </c>
      <c r="H119" s="1">
        <f t="shared" si="1"/>
        <v>0</v>
      </c>
      <c r="I119" s="1">
        <f t="shared" si="2"/>
        <v>0</v>
      </c>
      <c r="J119" s="7"/>
      <c r="K119" s="1">
        <f t="shared" si="3"/>
        <v>0</v>
      </c>
      <c r="L119" s="1">
        <f t="shared" si="4"/>
        <v>0</v>
      </c>
    </row>
    <row r="120" ht="14.25" customHeight="1">
      <c r="A120" s="7"/>
      <c r="B120" s="7"/>
      <c r="C120" s="1">
        <f>SUMIF(Recepture!$A$4:$A$500,A120,Recepture!$F$4:$F$500)</f>
        <v>0</v>
      </c>
      <c r="D120" s="7"/>
      <c r="E120" s="1">
        <f>D120/60*Podesavanja!$B$7</f>
        <v>0</v>
      </c>
      <c r="F120" s="1">
        <f>(C120+E120)*Podesavanja!$B$8</f>
        <v>0</v>
      </c>
      <c r="G120" s="1">
        <f>(C120+E120+F120)*Podesavanja!$B$24</f>
        <v>0</v>
      </c>
      <c r="H120" s="1">
        <f t="shared" si="1"/>
        <v>0</v>
      </c>
      <c r="I120" s="1">
        <f t="shared" si="2"/>
        <v>0</v>
      </c>
      <c r="J120" s="7"/>
      <c r="K120" s="1">
        <f t="shared" si="3"/>
        <v>0</v>
      </c>
      <c r="L120" s="1">
        <f t="shared" si="4"/>
        <v>0</v>
      </c>
    </row>
    <row r="121" ht="14.25" customHeight="1">
      <c r="A121" s="7"/>
      <c r="B121" s="7"/>
      <c r="C121" s="1">
        <f>SUMIF(Recepture!$A$4:$A$500,A121,Recepture!$F$4:$F$500)</f>
        <v>0</v>
      </c>
      <c r="D121" s="7"/>
      <c r="E121" s="1">
        <f>D121/60*Podesavanja!$B$7</f>
        <v>0</v>
      </c>
      <c r="F121" s="1">
        <f>(C121+E121)*Podesavanja!$B$8</f>
        <v>0</v>
      </c>
      <c r="G121" s="1">
        <f>(C121+E121+F121)*Podesavanja!$B$24</f>
        <v>0</v>
      </c>
      <c r="H121" s="1">
        <f t="shared" si="1"/>
        <v>0</v>
      </c>
      <c r="I121" s="1">
        <f t="shared" si="2"/>
        <v>0</v>
      </c>
      <c r="J121" s="7"/>
      <c r="K121" s="1">
        <f t="shared" si="3"/>
        <v>0</v>
      </c>
      <c r="L121" s="1">
        <f t="shared" si="4"/>
        <v>0</v>
      </c>
    </row>
    <row r="122" ht="14.25" customHeight="1">
      <c r="A122" s="7"/>
      <c r="B122" s="7"/>
      <c r="C122" s="1">
        <f>SUMIF(Recepture!$A$4:$A$500,A122,Recepture!$F$4:$F$500)</f>
        <v>0</v>
      </c>
      <c r="D122" s="7"/>
      <c r="E122" s="1">
        <f>D122/60*Podesavanja!$B$7</f>
        <v>0</v>
      </c>
      <c r="F122" s="1">
        <f>(C122+E122)*Podesavanja!$B$8</f>
        <v>0</v>
      </c>
      <c r="G122" s="1">
        <f>(C122+E122+F122)*Podesavanja!$B$24</f>
        <v>0</v>
      </c>
      <c r="H122" s="1">
        <f t="shared" si="1"/>
        <v>0</v>
      </c>
      <c r="I122" s="1">
        <f t="shared" si="2"/>
        <v>0</v>
      </c>
      <c r="J122" s="7"/>
      <c r="K122" s="1">
        <f t="shared" si="3"/>
        <v>0</v>
      </c>
      <c r="L122" s="1">
        <f t="shared" si="4"/>
        <v>0</v>
      </c>
    </row>
    <row r="123" ht="14.25" customHeight="1">
      <c r="A123" s="7"/>
      <c r="B123" s="7"/>
      <c r="C123" s="1">
        <f>SUMIF(Recepture!$A$4:$A$500,A123,Recepture!$F$4:$F$500)</f>
        <v>0</v>
      </c>
      <c r="D123" s="7"/>
      <c r="E123" s="1">
        <f>D123/60*Podesavanja!$B$7</f>
        <v>0</v>
      </c>
      <c r="F123" s="1">
        <f>(C123+E123)*Podesavanja!$B$8</f>
        <v>0</v>
      </c>
      <c r="G123" s="1">
        <f>(C123+E123+F123)*Podesavanja!$B$24</f>
        <v>0</v>
      </c>
      <c r="H123" s="1">
        <f t="shared" si="1"/>
        <v>0</v>
      </c>
      <c r="I123" s="1">
        <f t="shared" si="2"/>
        <v>0</v>
      </c>
      <c r="J123" s="7"/>
      <c r="K123" s="1">
        <f t="shared" si="3"/>
        <v>0</v>
      </c>
      <c r="L123" s="1">
        <f t="shared" si="4"/>
        <v>0</v>
      </c>
    </row>
    <row r="124" ht="14.25" customHeight="1">
      <c r="A124" s="7"/>
      <c r="B124" s="7"/>
      <c r="C124" s="1">
        <f>SUMIF(Recepture!$A$4:$A$500,A124,Recepture!$F$4:$F$500)</f>
        <v>0</v>
      </c>
      <c r="D124" s="7"/>
      <c r="E124" s="1">
        <f>D124/60*Podesavanja!$B$7</f>
        <v>0</v>
      </c>
      <c r="F124" s="1">
        <f>(C124+E124)*Podesavanja!$B$8</f>
        <v>0</v>
      </c>
      <c r="G124" s="1">
        <f>(C124+E124+F124)*Podesavanja!$B$24</f>
        <v>0</v>
      </c>
      <c r="H124" s="1">
        <f t="shared" si="1"/>
        <v>0</v>
      </c>
      <c r="I124" s="1">
        <f t="shared" si="2"/>
        <v>0</v>
      </c>
      <c r="J124" s="7"/>
      <c r="K124" s="1">
        <f t="shared" si="3"/>
        <v>0</v>
      </c>
      <c r="L124" s="1">
        <f t="shared" si="4"/>
        <v>0</v>
      </c>
    </row>
    <row r="125" ht="14.25" customHeight="1">
      <c r="A125" s="7"/>
      <c r="B125" s="7"/>
      <c r="C125" s="1">
        <f>SUMIF(Recepture!$A$4:$A$500,A125,Recepture!$F$4:$F$500)</f>
        <v>0</v>
      </c>
      <c r="D125" s="7"/>
      <c r="E125" s="1">
        <f>D125/60*Podesavanja!$B$7</f>
        <v>0</v>
      </c>
      <c r="F125" s="1">
        <f>(C125+E125)*Podesavanja!$B$8</f>
        <v>0</v>
      </c>
      <c r="G125" s="1">
        <f>(C125+E125+F125)*Podesavanja!$B$24</f>
        <v>0</v>
      </c>
      <c r="H125" s="1">
        <f t="shared" si="1"/>
        <v>0</v>
      </c>
      <c r="I125" s="1">
        <f t="shared" si="2"/>
        <v>0</v>
      </c>
      <c r="J125" s="7"/>
      <c r="K125" s="1">
        <f t="shared" si="3"/>
        <v>0</v>
      </c>
      <c r="L125" s="1">
        <f t="shared" si="4"/>
        <v>0</v>
      </c>
    </row>
    <row r="126" ht="14.25" customHeight="1">
      <c r="A126" s="7"/>
      <c r="B126" s="7"/>
      <c r="C126" s="1">
        <f>SUMIF(Recepture!$A$4:$A$500,A126,Recepture!$F$4:$F$500)</f>
        <v>0</v>
      </c>
      <c r="D126" s="7"/>
      <c r="E126" s="1">
        <f>D126/60*Podesavanja!$B$7</f>
        <v>0</v>
      </c>
      <c r="F126" s="1">
        <f>(C126+E126)*Podesavanja!$B$8</f>
        <v>0</v>
      </c>
      <c r="G126" s="1">
        <f>(C126+E126+F126)*Podesavanja!$B$24</f>
        <v>0</v>
      </c>
      <c r="H126" s="1">
        <f t="shared" si="1"/>
        <v>0</v>
      </c>
      <c r="I126" s="1">
        <f t="shared" si="2"/>
        <v>0</v>
      </c>
      <c r="J126" s="7"/>
      <c r="K126" s="1">
        <f t="shared" si="3"/>
        <v>0</v>
      </c>
      <c r="L126" s="1">
        <f t="shared" si="4"/>
        <v>0</v>
      </c>
    </row>
    <row r="127" ht="14.25" customHeight="1">
      <c r="A127" s="7"/>
      <c r="B127" s="7"/>
      <c r="C127" s="1">
        <f>SUMIF(Recepture!$A$4:$A$500,A127,Recepture!$F$4:$F$500)</f>
        <v>0</v>
      </c>
      <c r="D127" s="7"/>
      <c r="E127" s="1">
        <f>D127/60*Podesavanja!$B$7</f>
        <v>0</v>
      </c>
      <c r="F127" s="1">
        <f>(C127+E127)*Podesavanja!$B$8</f>
        <v>0</v>
      </c>
      <c r="G127" s="1">
        <f>(C127+E127+F127)*Podesavanja!$B$24</f>
        <v>0</v>
      </c>
      <c r="H127" s="1">
        <f t="shared" si="1"/>
        <v>0</v>
      </c>
      <c r="I127" s="1">
        <f t="shared" si="2"/>
        <v>0</v>
      </c>
      <c r="J127" s="7"/>
      <c r="K127" s="1">
        <f t="shared" si="3"/>
        <v>0</v>
      </c>
      <c r="L127" s="1">
        <f t="shared" si="4"/>
        <v>0</v>
      </c>
    </row>
    <row r="128" ht="14.25" customHeight="1">
      <c r="A128" s="7"/>
      <c r="B128" s="7"/>
      <c r="C128" s="1">
        <f>SUMIF(Recepture!$A$4:$A$500,A128,Recepture!$F$4:$F$500)</f>
        <v>0</v>
      </c>
      <c r="D128" s="7"/>
      <c r="E128" s="1">
        <f>D128/60*Podesavanja!$B$7</f>
        <v>0</v>
      </c>
      <c r="F128" s="1">
        <f>(C128+E128)*Podesavanja!$B$8</f>
        <v>0</v>
      </c>
      <c r="G128" s="1">
        <f>(C128+E128+F128)*Podesavanja!$B$24</f>
        <v>0</v>
      </c>
      <c r="H128" s="1">
        <f t="shared" si="1"/>
        <v>0</v>
      </c>
      <c r="I128" s="1">
        <f t="shared" si="2"/>
        <v>0</v>
      </c>
      <c r="J128" s="7"/>
      <c r="K128" s="1">
        <f t="shared" si="3"/>
        <v>0</v>
      </c>
      <c r="L128" s="1">
        <f t="shared" si="4"/>
        <v>0</v>
      </c>
    </row>
    <row r="129" ht="14.25" customHeight="1">
      <c r="A129" s="7"/>
      <c r="B129" s="7"/>
      <c r="C129" s="1">
        <f>SUMIF(Recepture!$A$4:$A$500,A129,Recepture!$F$4:$F$500)</f>
        <v>0</v>
      </c>
      <c r="D129" s="7"/>
      <c r="E129" s="1">
        <f>D129/60*Podesavanja!$B$7</f>
        <v>0</v>
      </c>
      <c r="F129" s="1">
        <f>(C129+E129)*Podesavanja!$B$8</f>
        <v>0</v>
      </c>
      <c r="G129" s="1">
        <f>(C129+E129+F129)*Podesavanja!$B$24</f>
        <v>0</v>
      </c>
      <c r="H129" s="1">
        <f t="shared" si="1"/>
        <v>0</v>
      </c>
      <c r="I129" s="1">
        <f t="shared" si="2"/>
        <v>0</v>
      </c>
      <c r="J129" s="7"/>
      <c r="K129" s="1">
        <f t="shared" si="3"/>
        <v>0</v>
      </c>
      <c r="L129" s="1">
        <f t="shared" si="4"/>
        <v>0</v>
      </c>
    </row>
    <row r="130" ht="14.25" customHeight="1">
      <c r="A130" s="7"/>
      <c r="B130" s="7"/>
      <c r="C130" s="1">
        <f>SUMIF(Recepture!$A$4:$A$500,A130,Recepture!$F$4:$F$500)</f>
        <v>0</v>
      </c>
      <c r="D130" s="7"/>
      <c r="E130" s="1">
        <f>D130/60*Podesavanja!$B$7</f>
        <v>0</v>
      </c>
      <c r="F130" s="1">
        <f>(C130+E130)*Podesavanja!$B$8</f>
        <v>0</v>
      </c>
      <c r="G130" s="1">
        <f>(C130+E130+F130)*Podesavanja!$B$24</f>
        <v>0</v>
      </c>
      <c r="H130" s="1">
        <f t="shared" si="1"/>
        <v>0</v>
      </c>
      <c r="I130" s="1">
        <f t="shared" si="2"/>
        <v>0</v>
      </c>
      <c r="J130" s="7"/>
      <c r="K130" s="1">
        <f t="shared" si="3"/>
        <v>0</v>
      </c>
      <c r="L130" s="1">
        <f t="shared" si="4"/>
        <v>0</v>
      </c>
    </row>
    <row r="131" ht="14.25" customHeight="1">
      <c r="A131" s="7"/>
      <c r="B131" s="7"/>
      <c r="C131" s="1">
        <f>SUMIF(Recepture!$A$4:$A$500,A131,Recepture!$F$4:$F$500)</f>
        <v>0</v>
      </c>
      <c r="D131" s="7"/>
      <c r="E131" s="1">
        <f>D131/60*Podesavanja!$B$7</f>
        <v>0</v>
      </c>
      <c r="F131" s="1">
        <f>(C131+E131)*Podesavanja!$B$8</f>
        <v>0</v>
      </c>
      <c r="G131" s="1">
        <f>(C131+E131+F131)*Podesavanja!$B$24</f>
        <v>0</v>
      </c>
      <c r="H131" s="1">
        <f t="shared" si="1"/>
        <v>0</v>
      </c>
      <c r="I131" s="1">
        <f t="shared" si="2"/>
        <v>0</v>
      </c>
      <c r="J131" s="7"/>
      <c r="K131" s="1">
        <f t="shared" si="3"/>
        <v>0</v>
      </c>
      <c r="L131" s="1">
        <f t="shared" si="4"/>
        <v>0</v>
      </c>
    </row>
    <row r="132" ht="14.25" customHeight="1">
      <c r="A132" s="7"/>
      <c r="B132" s="7"/>
      <c r="C132" s="1">
        <f>SUMIF(Recepture!$A$4:$A$500,A132,Recepture!$F$4:$F$500)</f>
        <v>0</v>
      </c>
      <c r="D132" s="7"/>
      <c r="E132" s="1">
        <f>D132/60*Podesavanja!$B$7</f>
        <v>0</v>
      </c>
      <c r="F132" s="1">
        <f>(C132+E132)*Podesavanja!$B$8</f>
        <v>0</v>
      </c>
      <c r="G132" s="1">
        <f>(C132+E132+F132)*Podesavanja!$B$24</f>
        <v>0</v>
      </c>
      <c r="H132" s="1">
        <f t="shared" si="1"/>
        <v>0</v>
      </c>
      <c r="I132" s="1">
        <f t="shared" si="2"/>
        <v>0</v>
      </c>
      <c r="J132" s="7"/>
      <c r="K132" s="1">
        <f t="shared" si="3"/>
        <v>0</v>
      </c>
      <c r="L132" s="1">
        <f t="shared" si="4"/>
        <v>0</v>
      </c>
    </row>
    <row r="133" ht="14.25" customHeight="1">
      <c r="A133" s="7"/>
      <c r="B133" s="7"/>
      <c r="C133" s="1">
        <f>SUMIF(Recepture!$A$4:$A$500,A133,Recepture!$F$4:$F$500)</f>
        <v>0</v>
      </c>
      <c r="D133" s="7"/>
      <c r="E133" s="1">
        <f>D133/60*Podesavanja!$B$7</f>
        <v>0</v>
      </c>
      <c r="F133" s="1">
        <f>(C133+E133)*Podesavanja!$B$8</f>
        <v>0</v>
      </c>
      <c r="G133" s="1">
        <f>(C133+E133+F133)*Podesavanja!$B$24</f>
        <v>0</v>
      </c>
      <c r="H133" s="1">
        <f t="shared" si="1"/>
        <v>0</v>
      </c>
      <c r="I133" s="1">
        <f t="shared" si="2"/>
        <v>0</v>
      </c>
      <c r="J133" s="7"/>
      <c r="K133" s="1">
        <f t="shared" si="3"/>
        <v>0</v>
      </c>
      <c r="L133" s="1">
        <f t="shared" si="4"/>
        <v>0</v>
      </c>
    </row>
    <row r="134" ht="14.25" customHeight="1">
      <c r="A134" s="7"/>
      <c r="B134" s="7"/>
      <c r="C134" s="1">
        <f>SUMIF(Recepture!$A$4:$A$500,A134,Recepture!$F$4:$F$500)</f>
        <v>0</v>
      </c>
      <c r="D134" s="7"/>
      <c r="E134" s="1">
        <f>D134/60*Podesavanja!$B$7</f>
        <v>0</v>
      </c>
      <c r="F134" s="1">
        <f>(C134+E134)*Podesavanja!$B$8</f>
        <v>0</v>
      </c>
      <c r="G134" s="1">
        <f>(C134+E134+F134)*Podesavanja!$B$24</f>
        <v>0</v>
      </c>
      <c r="H134" s="1">
        <f t="shared" si="1"/>
        <v>0</v>
      </c>
      <c r="I134" s="1">
        <f t="shared" si="2"/>
        <v>0</v>
      </c>
      <c r="J134" s="7"/>
      <c r="K134" s="1">
        <f t="shared" si="3"/>
        <v>0</v>
      </c>
      <c r="L134" s="1">
        <f t="shared" si="4"/>
        <v>0</v>
      </c>
    </row>
    <row r="135" ht="14.25" customHeight="1">
      <c r="A135" s="7"/>
      <c r="B135" s="7"/>
      <c r="C135" s="1">
        <f>SUMIF(Recepture!$A$4:$A$500,A135,Recepture!$F$4:$F$500)</f>
        <v>0</v>
      </c>
      <c r="D135" s="7"/>
      <c r="E135" s="1">
        <f>D135/60*Podesavanja!$B$7</f>
        <v>0</v>
      </c>
      <c r="F135" s="1">
        <f>(C135+E135)*Podesavanja!$B$8</f>
        <v>0</v>
      </c>
      <c r="G135" s="1">
        <f>(C135+E135+F135)*Podesavanja!$B$24</f>
        <v>0</v>
      </c>
      <c r="H135" s="1">
        <f t="shared" si="1"/>
        <v>0</v>
      </c>
      <c r="I135" s="1">
        <f t="shared" si="2"/>
        <v>0</v>
      </c>
      <c r="J135" s="7"/>
      <c r="K135" s="1">
        <f t="shared" si="3"/>
        <v>0</v>
      </c>
      <c r="L135" s="1">
        <f t="shared" si="4"/>
        <v>0</v>
      </c>
    </row>
    <row r="136" ht="14.25" customHeight="1">
      <c r="A136" s="7"/>
      <c r="B136" s="7"/>
      <c r="C136" s="1">
        <f>SUMIF(Recepture!$A$4:$A$500,A136,Recepture!$F$4:$F$500)</f>
        <v>0</v>
      </c>
      <c r="D136" s="7"/>
      <c r="E136" s="1">
        <f>D136/60*Podesavanja!$B$7</f>
        <v>0</v>
      </c>
      <c r="F136" s="1">
        <f>(C136+E136)*Podesavanja!$B$8</f>
        <v>0</v>
      </c>
      <c r="G136" s="1">
        <f>(C136+E136+F136)*Podesavanja!$B$24</f>
        <v>0</v>
      </c>
      <c r="H136" s="1">
        <f t="shared" si="1"/>
        <v>0</v>
      </c>
      <c r="I136" s="1">
        <f t="shared" si="2"/>
        <v>0</v>
      </c>
      <c r="J136" s="7"/>
      <c r="K136" s="1">
        <f t="shared" si="3"/>
        <v>0</v>
      </c>
      <c r="L136" s="1">
        <f t="shared" si="4"/>
        <v>0</v>
      </c>
    </row>
    <row r="137" ht="14.25" customHeight="1">
      <c r="A137" s="7"/>
      <c r="B137" s="7"/>
      <c r="C137" s="1">
        <f>SUMIF(Recepture!$A$4:$A$500,A137,Recepture!$F$4:$F$500)</f>
        <v>0</v>
      </c>
      <c r="D137" s="7"/>
      <c r="E137" s="1">
        <f>D137/60*Podesavanja!$B$7</f>
        <v>0</v>
      </c>
      <c r="F137" s="1">
        <f>(C137+E137)*Podesavanja!$B$8</f>
        <v>0</v>
      </c>
      <c r="G137" s="1">
        <f>(C137+E137+F137)*Podesavanja!$B$24</f>
        <v>0</v>
      </c>
      <c r="H137" s="1">
        <f t="shared" si="1"/>
        <v>0</v>
      </c>
      <c r="I137" s="1">
        <f t="shared" si="2"/>
        <v>0</v>
      </c>
      <c r="J137" s="7"/>
      <c r="K137" s="1">
        <f t="shared" si="3"/>
        <v>0</v>
      </c>
      <c r="L137" s="1">
        <f t="shared" si="4"/>
        <v>0</v>
      </c>
    </row>
    <row r="138" ht="14.25" customHeight="1">
      <c r="A138" s="7"/>
      <c r="B138" s="7"/>
      <c r="C138" s="1">
        <f>SUMIF(Recepture!$A$4:$A$500,A138,Recepture!$F$4:$F$500)</f>
        <v>0</v>
      </c>
      <c r="D138" s="7"/>
      <c r="E138" s="1">
        <f>D138/60*Podesavanja!$B$7</f>
        <v>0</v>
      </c>
      <c r="F138" s="1">
        <f>(C138+E138)*Podesavanja!$B$8</f>
        <v>0</v>
      </c>
      <c r="G138" s="1">
        <f>(C138+E138+F138)*Podesavanja!$B$24</f>
        <v>0</v>
      </c>
      <c r="H138" s="1">
        <f t="shared" si="1"/>
        <v>0</v>
      </c>
      <c r="I138" s="1">
        <f t="shared" si="2"/>
        <v>0</v>
      </c>
      <c r="J138" s="7"/>
      <c r="K138" s="1">
        <f t="shared" si="3"/>
        <v>0</v>
      </c>
      <c r="L138" s="1">
        <f t="shared" si="4"/>
        <v>0</v>
      </c>
    </row>
    <row r="139" ht="14.25" customHeight="1">
      <c r="A139" s="7"/>
      <c r="B139" s="7"/>
      <c r="C139" s="1">
        <f>SUMIF(Recepture!$A$4:$A$500,A139,Recepture!$F$4:$F$500)</f>
        <v>0</v>
      </c>
      <c r="D139" s="7"/>
      <c r="E139" s="1">
        <f>D139/60*Podesavanja!$B$7</f>
        <v>0</v>
      </c>
      <c r="F139" s="1">
        <f>(C139+E139)*Podesavanja!$B$8</f>
        <v>0</v>
      </c>
      <c r="G139" s="1">
        <f>(C139+E139+F139)*Podesavanja!$B$24</f>
        <v>0</v>
      </c>
      <c r="H139" s="1">
        <f t="shared" si="1"/>
        <v>0</v>
      </c>
      <c r="I139" s="1">
        <f t="shared" si="2"/>
        <v>0</v>
      </c>
      <c r="J139" s="7"/>
      <c r="K139" s="1">
        <f t="shared" si="3"/>
        <v>0</v>
      </c>
      <c r="L139" s="1">
        <f t="shared" si="4"/>
        <v>0</v>
      </c>
    </row>
    <row r="140" ht="14.25" customHeight="1">
      <c r="A140" s="7"/>
      <c r="B140" s="7"/>
      <c r="C140" s="1">
        <f>SUMIF(Recepture!$A$4:$A$500,A140,Recepture!$F$4:$F$500)</f>
        <v>0</v>
      </c>
      <c r="D140" s="7"/>
      <c r="E140" s="1">
        <f>D140/60*Podesavanja!$B$7</f>
        <v>0</v>
      </c>
      <c r="F140" s="1">
        <f>(C140+E140)*Podesavanja!$B$8</f>
        <v>0</v>
      </c>
      <c r="G140" s="1">
        <f>(C140+E140+F140)*Podesavanja!$B$24</f>
        <v>0</v>
      </c>
      <c r="H140" s="1">
        <f t="shared" si="1"/>
        <v>0</v>
      </c>
      <c r="I140" s="1">
        <f t="shared" si="2"/>
        <v>0</v>
      </c>
      <c r="J140" s="7"/>
      <c r="K140" s="1">
        <f t="shared" si="3"/>
        <v>0</v>
      </c>
      <c r="L140" s="1">
        <f t="shared" si="4"/>
        <v>0</v>
      </c>
    </row>
    <row r="141" ht="14.25" customHeight="1">
      <c r="A141" s="7"/>
      <c r="B141" s="7"/>
      <c r="C141" s="1">
        <f>SUMIF(Recepture!$A$4:$A$500,A141,Recepture!$F$4:$F$500)</f>
        <v>0</v>
      </c>
      <c r="D141" s="7"/>
      <c r="E141" s="1">
        <f>D141/60*Podesavanja!$B$7</f>
        <v>0</v>
      </c>
      <c r="F141" s="1">
        <f>(C141+E141)*Podesavanja!$B$8</f>
        <v>0</v>
      </c>
      <c r="G141" s="1">
        <f>(C141+E141+F141)*Podesavanja!$B$24</f>
        <v>0</v>
      </c>
      <c r="H141" s="1">
        <f t="shared" si="1"/>
        <v>0</v>
      </c>
      <c r="I141" s="1">
        <f t="shared" si="2"/>
        <v>0</v>
      </c>
      <c r="J141" s="7"/>
      <c r="K141" s="1">
        <f t="shared" si="3"/>
        <v>0</v>
      </c>
      <c r="L141" s="1">
        <f t="shared" si="4"/>
        <v>0</v>
      </c>
    </row>
    <row r="142" ht="14.25" customHeight="1">
      <c r="A142" s="7"/>
      <c r="B142" s="7"/>
      <c r="C142" s="1">
        <f>SUMIF(Recepture!$A$4:$A$500,A142,Recepture!$F$4:$F$500)</f>
        <v>0</v>
      </c>
      <c r="D142" s="7"/>
      <c r="E142" s="1">
        <f>D142/60*Podesavanja!$B$7</f>
        <v>0</v>
      </c>
      <c r="F142" s="1">
        <f>(C142+E142)*Podesavanja!$B$8</f>
        <v>0</v>
      </c>
      <c r="G142" s="1">
        <f>(C142+E142+F142)*Podesavanja!$B$24</f>
        <v>0</v>
      </c>
      <c r="H142" s="1">
        <f t="shared" si="1"/>
        <v>0</v>
      </c>
      <c r="I142" s="1">
        <f t="shared" si="2"/>
        <v>0</v>
      </c>
      <c r="J142" s="7"/>
      <c r="K142" s="1">
        <f t="shared" si="3"/>
        <v>0</v>
      </c>
      <c r="L142" s="1">
        <f t="shared" si="4"/>
        <v>0</v>
      </c>
    </row>
    <row r="143" ht="14.25" customHeight="1">
      <c r="A143" s="7"/>
      <c r="B143" s="7"/>
      <c r="C143" s="1">
        <f>SUMIF(Recepture!$A$4:$A$500,A143,Recepture!$F$4:$F$500)</f>
        <v>0</v>
      </c>
      <c r="D143" s="7"/>
      <c r="E143" s="1">
        <f>D143/60*Podesavanja!$B$7</f>
        <v>0</v>
      </c>
      <c r="F143" s="1">
        <f>(C143+E143)*Podesavanja!$B$8</f>
        <v>0</v>
      </c>
      <c r="G143" s="1">
        <f>(C143+E143+F143)*Podesavanja!$B$24</f>
        <v>0</v>
      </c>
      <c r="H143" s="1">
        <f t="shared" si="1"/>
        <v>0</v>
      </c>
      <c r="I143" s="1">
        <f t="shared" si="2"/>
        <v>0</v>
      </c>
      <c r="J143" s="7"/>
      <c r="K143" s="1">
        <f t="shared" si="3"/>
        <v>0</v>
      </c>
      <c r="L143" s="1">
        <f t="shared" si="4"/>
        <v>0</v>
      </c>
    </row>
    <row r="144" ht="14.25" customHeight="1">
      <c r="A144" s="7"/>
      <c r="B144" s="7"/>
      <c r="C144" s="1">
        <f>SUMIF(Recepture!$A$4:$A$500,A144,Recepture!$F$4:$F$500)</f>
        <v>0</v>
      </c>
      <c r="D144" s="7"/>
      <c r="E144" s="1">
        <f>D144/60*Podesavanja!$B$7</f>
        <v>0</v>
      </c>
      <c r="F144" s="1">
        <f>(C144+E144)*Podesavanja!$B$8</f>
        <v>0</v>
      </c>
      <c r="G144" s="1">
        <f>(C144+E144+F144)*Podesavanja!$B$24</f>
        <v>0</v>
      </c>
      <c r="H144" s="1">
        <f t="shared" si="1"/>
        <v>0</v>
      </c>
      <c r="I144" s="1">
        <f t="shared" si="2"/>
        <v>0</v>
      </c>
      <c r="J144" s="7"/>
      <c r="K144" s="1">
        <f t="shared" si="3"/>
        <v>0</v>
      </c>
      <c r="L144" s="1">
        <f t="shared" si="4"/>
        <v>0</v>
      </c>
    </row>
    <row r="145" ht="14.25" customHeight="1">
      <c r="A145" s="7"/>
      <c r="B145" s="7"/>
      <c r="C145" s="1">
        <f>SUMIF(Recepture!$A$4:$A$500,A145,Recepture!$F$4:$F$500)</f>
        <v>0</v>
      </c>
      <c r="D145" s="7"/>
      <c r="E145" s="1">
        <f>D145/60*Podesavanja!$B$7</f>
        <v>0</v>
      </c>
      <c r="F145" s="1">
        <f>(C145+E145)*Podesavanja!$B$8</f>
        <v>0</v>
      </c>
      <c r="G145" s="1">
        <f>(C145+E145+F145)*Podesavanja!$B$24</f>
        <v>0</v>
      </c>
      <c r="H145" s="1">
        <f t="shared" si="1"/>
        <v>0</v>
      </c>
      <c r="I145" s="1">
        <f t="shared" si="2"/>
        <v>0</v>
      </c>
      <c r="J145" s="7"/>
      <c r="K145" s="1">
        <f t="shared" si="3"/>
        <v>0</v>
      </c>
      <c r="L145" s="1">
        <f t="shared" si="4"/>
        <v>0</v>
      </c>
    </row>
    <row r="146" ht="14.25" customHeight="1">
      <c r="A146" s="7"/>
      <c r="B146" s="7"/>
      <c r="C146" s="1">
        <f>SUMIF(Recepture!$A$4:$A$500,A146,Recepture!$F$4:$F$500)</f>
        <v>0</v>
      </c>
      <c r="D146" s="7"/>
      <c r="E146" s="1">
        <f>D146/60*Podesavanja!$B$7</f>
        <v>0</v>
      </c>
      <c r="F146" s="1">
        <f>(C146+E146)*Podesavanja!$B$8</f>
        <v>0</v>
      </c>
      <c r="G146" s="1">
        <f>(C146+E146+F146)*Podesavanja!$B$24</f>
        <v>0</v>
      </c>
      <c r="H146" s="1">
        <f t="shared" si="1"/>
        <v>0</v>
      </c>
      <c r="I146" s="1">
        <f t="shared" si="2"/>
        <v>0</v>
      </c>
      <c r="J146" s="7"/>
      <c r="K146" s="1">
        <f t="shared" si="3"/>
        <v>0</v>
      </c>
      <c r="L146" s="1">
        <f t="shared" si="4"/>
        <v>0</v>
      </c>
    </row>
    <row r="147" ht="14.25" customHeight="1">
      <c r="A147" s="7"/>
      <c r="B147" s="7"/>
      <c r="C147" s="1">
        <f>SUMIF(Recepture!$A$4:$A$500,A147,Recepture!$F$4:$F$500)</f>
        <v>0</v>
      </c>
      <c r="D147" s="7"/>
      <c r="E147" s="1">
        <f>D147/60*Podesavanja!$B$7</f>
        <v>0</v>
      </c>
      <c r="F147" s="1">
        <f>(C147+E147)*Podesavanja!$B$8</f>
        <v>0</v>
      </c>
      <c r="G147" s="1">
        <f>(C147+E147+F147)*Podesavanja!$B$24</f>
        <v>0</v>
      </c>
      <c r="H147" s="1">
        <f t="shared" si="1"/>
        <v>0</v>
      </c>
      <c r="I147" s="1">
        <f t="shared" si="2"/>
        <v>0</v>
      </c>
      <c r="J147" s="7"/>
      <c r="K147" s="1">
        <f t="shared" si="3"/>
        <v>0</v>
      </c>
      <c r="L147" s="1">
        <f t="shared" si="4"/>
        <v>0</v>
      </c>
    </row>
    <row r="148" ht="14.25" customHeight="1">
      <c r="A148" s="7"/>
      <c r="B148" s="7"/>
      <c r="C148" s="1">
        <f>SUMIF(Recepture!$A$4:$A$500,A148,Recepture!$F$4:$F$500)</f>
        <v>0</v>
      </c>
      <c r="D148" s="7"/>
      <c r="E148" s="1">
        <f>D148/60*Podesavanja!$B$7</f>
        <v>0</v>
      </c>
      <c r="F148" s="1">
        <f>(C148+E148)*Podesavanja!$B$8</f>
        <v>0</v>
      </c>
      <c r="G148" s="1">
        <f>(C148+E148+F148)*Podesavanja!$B$24</f>
        <v>0</v>
      </c>
      <c r="H148" s="1">
        <f t="shared" si="1"/>
        <v>0</v>
      </c>
      <c r="I148" s="1">
        <f t="shared" si="2"/>
        <v>0</v>
      </c>
      <c r="J148" s="7"/>
      <c r="K148" s="1">
        <f t="shared" si="3"/>
        <v>0</v>
      </c>
      <c r="L148" s="1">
        <f t="shared" si="4"/>
        <v>0</v>
      </c>
    </row>
    <row r="149" ht="14.25" customHeight="1">
      <c r="A149" s="7"/>
      <c r="B149" s="7"/>
      <c r="C149" s="1">
        <f>SUMIF(Recepture!$A$4:$A$500,A149,Recepture!$F$4:$F$500)</f>
        <v>0</v>
      </c>
      <c r="D149" s="7"/>
      <c r="E149" s="1">
        <f>D149/60*Podesavanja!$B$7</f>
        <v>0</v>
      </c>
      <c r="F149" s="1">
        <f>(C149+E149)*Podesavanja!$B$8</f>
        <v>0</v>
      </c>
      <c r="G149" s="1">
        <f>(C149+E149+F149)*Podesavanja!$B$24</f>
        <v>0</v>
      </c>
      <c r="H149" s="1">
        <f t="shared" si="1"/>
        <v>0</v>
      </c>
      <c r="I149" s="1">
        <f t="shared" si="2"/>
        <v>0</v>
      </c>
      <c r="J149" s="7"/>
      <c r="K149" s="1">
        <f t="shared" si="3"/>
        <v>0</v>
      </c>
      <c r="L149" s="1">
        <f t="shared" si="4"/>
        <v>0</v>
      </c>
    </row>
    <row r="150" ht="14.25" customHeight="1">
      <c r="A150" s="7"/>
      <c r="B150" s="7"/>
      <c r="C150" s="1">
        <f>SUMIF(Recepture!$A$4:$A$500,A150,Recepture!$F$4:$F$500)</f>
        <v>0</v>
      </c>
      <c r="D150" s="7"/>
      <c r="E150" s="1">
        <f>D150/60*Podesavanja!$B$7</f>
        <v>0</v>
      </c>
      <c r="F150" s="1">
        <f>(C150+E150)*Podesavanja!$B$8</f>
        <v>0</v>
      </c>
      <c r="G150" s="1">
        <f>(C150+E150+F150)*Podesavanja!$B$24</f>
        <v>0</v>
      </c>
      <c r="H150" s="1">
        <f t="shared" si="1"/>
        <v>0</v>
      </c>
      <c r="I150" s="1">
        <f t="shared" si="2"/>
        <v>0</v>
      </c>
      <c r="J150" s="7"/>
      <c r="K150" s="1">
        <f t="shared" si="3"/>
        <v>0</v>
      </c>
      <c r="L150" s="1">
        <f t="shared" si="4"/>
        <v>0</v>
      </c>
    </row>
    <row r="151" ht="14.25" customHeight="1">
      <c r="A151" s="7"/>
      <c r="B151" s="7"/>
      <c r="C151" s="1">
        <f>SUMIF(Recepture!$A$4:$A$500,A151,Recepture!$F$4:$F$500)</f>
        <v>0</v>
      </c>
      <c r="D151" s="7"/>
      <c r="E151" s="1">
        <f>D151/60*Podesavanja!$B$7</f>
        <v>0</v>
      </c>
      <c r="F151" s="1">
        <f>(C151+E151)*Podesavanja!$B$8</f>
        <v>0</v>
      </c>
      <c r="G151" s="1">
        <f>(C151+E151+F151)*Podesavanja!$B$24</f>
        <v>0</v>
      </c>
      <c r="H151" s="1">
        <f t="shared" si="1"/>
        <v>0</v>
      </c>
      <c r="I151" s="1">
        <f t="shared" si="2"/>
        <v>0</v>
      </c>
      <c r="J151" s="7"/>
      <c r="K151" s="1">
        <f t="shared" si="3"/>
        <v>0</v>
      </c>
      <c r="L151" s="1">
        <f t="shared" si="4"/>
        <v>0</v>
      </c>
    </row>
    <row r="152" ht="14.25" customHeight="1">
      <c r="A152" s="7"/>
      <c r="B152" s="7"/>
      <c r="C152" s="1">
        <f>SUMIF(Recepture!$A$4:$A$500,A152,Recepture!$F$4:$F$500)</f>
        <v>0</v>
      </c>
      <c r="D152" s="7"/>
      <c r="E152" s="1">
        <f>D152/60*Podesavanja!$B$7</f>
        <v>0</v>
      </c>
      <c r="F152" s="1">
        <f>(C152+E152)*Podesavanja!$B$8</f>
        <v>0</v>
      </c>
      <c r="G152" s="1">
        <f>(C152+E152+F152)*Podesavanja!$B$24</f>
        <v>0</v>
      </c>
      <c r="H152" s="1">
        <f t="shared" si="1"/>
        <v>0</v>
      </c>
      <c r="I152" s="1">
        <f t="shared" si="2"/>
        <v>0</v>
      </c>
      <c r="J152" s="7"/>
      <c r="K152" s="1">
        <f t="shared" si="3"/>
        <v>0</v>
      </c>
      <c r="L152" s="1">
        <f t="shared" si="4"/>
        <v>0</v>
      </c>
    </row>
    <row r="153" ht="14.25" customHeight="1">
      <c r="A153" s="7"/>
      <c r="B153" s="7"/>
      <c r="C153" s="1">
        <f>SUMIF(Recepture!$A$4:$A$500,A153,Recepture!$F$4:$F$500)</f>
        <v>0</v>
      </c>
      <c r="D153" s="7"/>
      <c r="E153" s="1">
        <f>D153/60*Podesavanja!$B$7</f>
        <v>0</v>
      </c>
      <c r="F153" s="1">
        <f>(C153+E153)*Podesavanja!$B$8</f>
        <v>0</v>
      </c>
      <c r="G153" s="1">
        <f>(C153+E153+F153)*Podesavanja!$B$24</f>
        <v>0</v>
      </c>
      <c r="H153" s="1">
        <f t="shared" si="1"/>
        <v>0</v>
      </c>
      <c r="I153" s="1">
        <f t="shared" si="2"/>
        <v>0</v>
      </c>
      <c r="J153" s="7"/>
      <c r="K153" s="1">
        <f t="shared" si="3"/>
        <v>0</v>
      </c>
      <c r="L153" s="1">
        <f t="shared" si="4"/>
        <v>0</v>
      </c>
    </row>
    <row r="154" ht="14.25" customHeight="1">
      <c r="A154" s="7"/>
      <c r="B154" s="7"/>
      <c r="C154" s="1">
        <f>SUMIF(Recepture!$A$4:$A$500,A154,Recepture!$F$4:$F$500)</f>
        <v>0</v>
      </c>
      <c r="D154" s="7"/>
      <c r="E154" s="1">
        <f>D154/60*Podesavanja!$B$7</f>
        <v>0</v>
      </c>
      <c r="F154" s="1">
        <f>(C154+E154)*Podesavanja!$B$8</f>
        <v>0</v>
      </c>
      <c r="G154" s="1">
        <f>(C154+E154+F154)*Podesavanja!$B$24</f>
        <v>0</v>
      </c>
      <c r="H154" s="1">
        <f t="shared" si="1"/>
        <v>0</v>
      </c>
      <c r="I154" s="1">
        <f t="shared" si="2"/>
        <v>0</v>
      </c>
      <c r="J154" s="7"/>
      <c r="K154" s="1">
        <f t="shared" si="3"/>
        <v>0</v>
      </c>
      <c r="L154" s="1">
        <f t="shared" si="4"/>
        <v>0</v>
      </c>
    </row>
    <row r="155" ht="14.25" customHeight="1">
      <c r="A155" s="7"/>
      <c r="B155" s="7"/>
      <c r="C155" s="1">
        <f>SUMIF(Recepture!$A$4:$A$500,A155,Recepture!$F$4:$F$500)</f>
        <v>0</v>
      </c>
      <c r="D155" s="7"/>
      <c r="E155" s="1">
        <f>D155/60*Podesavanja!$B$7</f>
        <v>0</v>
      </c>
      <c r="F155" s="1">
        <f>(C155+E155)*Podesavanja!$B$8</f>
        <v>0</v>
      </c>
      <c r="G155" s="1">
        <f>(C155+E155+F155)*Podesavanja!$B$24</f>
        <v>0</v>
      </c>
      <c r="H155" s="1">
        <f t="shared" si="1"/>
        <v>0</v>
      </c>
      <c r="I155" s="1">
        <f t="shared" si="2"/>
        <v>0</v>
      </c>
      <c r="J155" s="7"/>
      <c r="K155" s="1">
        <f t="shared" si="3"/>
        <v>0</v>
      </c>
      <c r="L155" s="1">
        <f t="shared" si="4"/>
        <v>0</v>
      </c>
    </row>
    <row r="156" ht="14.25" customHeight="1">
      <c r="A156" s="7"/>
      <c r="B156" s="7"/>
      <c r="C156" s="1">
        <f>SUMIF(Recepture!$A$4:$A$500,A156,Recepture!$F$4:$F$500)</f>
        <v>0</v>
      </c>
      <c r="D156" s="7"/>
      <c r="E156" s="1">
        <f>D156/60*Podesavanja!$B$7</f>
        <v>0</v>
      </c>
      <c r="F156" s="1">
        <f>(C156+E156)*Podesavanja!$B$8</f>
        <v>0</v>
      </c>
      <c r="G156" s="1">
        <f>(C156+E156+F156)*Podesavanja!$B$24</f>
        <v>0</v>
      </c>
      <c r="H156" s="1">
        <f t="shared" si="1"/>
        <v>0</v>
      </c>
      <c r="I156" s="1">
        <f t="shared" si="2"/>
        <v>0</v>
      </c>
      <c r="J156" s="7"/>
      <c r="K156" s="1">
        <f t="shared" si="3"/>
        <v>0</v>
      </c>
      <c r="L156" s="1">
        <f t="shared" si="4"/>
        <v>0</v>
      </c>
    </row>
    <row r="157" ht="14.25" customHeight="1">
      <c r="A157" s="7"/>
      <c r="B157" s="7"/>
      <c r="C157" s="1">
        <f>SUMIF(Recepture!$A$4:$A$500,A157,Recepture!$F$4:$F$500)</f>
        <v>0</v>
      </c>
      <c r="D157" s="7"/>
      <c r="E157" s="1">
        <f>D157/60*Podesavanja!$B$7</f>
        <v>0</v>
      </c>
      <c r="F157" s="1">
        <f>(C157+E157)*Podesavanja!$B$8</f>
        <v>0</v>
      </c>
      <c r="G157" s="1">
        <f>(C157+E157+F157)*Podesavanja!$B$24</f>
        <v>0</v>
      </c>
      <c r="H157" s="1">
        <f t="shared" si="1"/>
        <v>0</v>
      </c>
      <c r="I157" s="1">
        <f t="shared" si="2"/>
        <v>0</v>
      </c>
      <c r="J157" s="7"/>
      <c r="K157" s="1">
        <f t="shared" si="3"/>
        <v>0</v>
      </c>
      <c r="L157" s="1">
        <f t="shared" si="4"/>
        <v>0</v>
      </c>
    </row>
    <row r="158" ht="14.25" customHeight="1">
      <c r="A158" s="7"/>
      <c r="B158" s="7"/>
      <c r="C158" s="1">
        <f>SUMIF(Recepture!$A$4:$A$500,A158,Recepture!$F$4:$F$500)</f>
        <v>0</v>
      </c>
      <c r="D158" s="7"/>
      <c r="E158" s="1">
        <f>D158/60*Podesavanja!$B$7</f>
        <v>0</v>
      </c>
      <c r="F158" s="1">
        <f>(C158+E158)*Podesavanja!$B$8</f>
        <v>0</v>
      </c>
      <c r="G158" s="1">
        <f>(C158+E158+F158)*Podesavanja!$B$24</f>
        <v>0</v>
      </c>
      <c r="H158" s="1">
        <f t="shared" si="1"/>
        <v>0</v>
      </c>
      <c r="I158" s="1">
        <f t="shared" si="2"/>
        <v>0</v>
      </c>
      <c r="J158" s="7"/>
      <c r="K158" s="1">
        <f t="shared" si="3"/>
        <v>0</v>
      </c>
      <c r="L158" s="1">
        <f t="shared" si="4"/>
        <v>0</v>
      </c>
    </row>
    <row r="159" ht="14.25" customHeight="1">
      <c r="A159" s="7"/>
      <c r="B159" s="7"/>
      <c r="C159" s="1">
        <f>SUMIF(Recepture!$A$4:$A$500,A159,Recepture!$F$4:$F$500)</f>
        <v>0</v>
      </c>
      <c r="D159" s="7"/>
      <c r="E159" s="1">
        <f>D159/60*Podesavanja!$B$7</f>
        <v>0</v>
      </c>
      <c r="F159" s="1">
        <f>(C159+E159)*Podesavanja!$B$8</f>
        <v>0</v>
      </c>
      <c r="G159" s="1">
        <f>(C159+E159+F159)*Podesavanja!$B$24</f>
        <v>0</v>
      </c>
      <c r="H159" s="1">
        <f t="shared" si="1"/>
        <v>0</v>
      </c>
      <c r="I159" s="1">
        <f t="shared" si="2"/>
        <v>0</v>
      </c>
      <c r="J159" s="7"/>
      <c r="K159" s="1">
        <f t="shared" si="3"/>
        <v>0</v>
      </c>
      <c r="L159" s="1">
        <f t="shared" si="4"/>
        <v>0</v>
      </c>
    </row>
    <row r="160" ht="14.25" customHeight="1">
      <c r="A160" s="7"/>
      <c r="B160" s="7"/>
      <c r="C160" s="1">
        <f>SUMIF(Recepture!$A$4:$A$500,A160,Recepture!$F$4:$F$500)</f>
        <v>0</v>
      </c>
      <c r="D160" s="7"/>
      <c r="E160" s="1">
        <f>D160/60*Podesavanja!$B$7</f>
        <v>0</v>
      </c>
      <c r="F160" s="1">
        <f>(C160+E160)*Podesavanja!$B$8</f>
        <v>0</v>
      </c>
      <c r="G160" s="1">
        <f>(C160+E160+F160)*Podesavanja!$B$24</f>
        <v>0</v>
      </c>
      <c r="H160" s="1">
        <f t="shared" si="1"/>
        <v>0</v>
      </c>
      <c r="I160" s="1">
        <f t="shared" si="2"/>
        <v>0</v>
      </c>
      <c r="J160" s="7"/>
      <c r="K160" s="1">
        <f t="shared" si="3"/>
        <v>0</v>
      </c>
      <c r="L160" s="1">
        <f t="shared" si="4"/>
        <v>0</v>
      </c>
    </row>
    <row r="161" ht="14.25" customHeight="1">
      <c r="A161" s="7"/>
      <c r="B161" s="7"/>
      <c r="C161" s="1">
        <f>SUMIF(Recepture!$A$4:$A$500,A161,Recepture!$F$4:$F$500)</f>
        <v>0</v>
      </c>
      <c r="D161" s="7"/>
      <c r="E161" s="1">
        <f>D161/60*Podesavanja!$B$7</f>
        <v>0</v>
      </c>
      <c r="F161" s="1">
        <f>(C161+E161)*Podesavanja!$B$8</f>
        <v>0</v>
      </c>
      <c r="G161" s="1">
        <f>(C161+E161+F161)*Podesavanja!$B$24</f>
        <v>0</v>
      </c>
      <c r="H161" s="1">
        <f t="shared" si="1"/>
        <v>0</v>
      </c>
      <c r="I161" s="1">
        <f t="shared" si="2"/>
        <v>0</v>
      </c>
      <c r="J161" s="7"/>
      <c r="K161" s="1">
        <f t="shared" si="3"/>
        <v>0</v>
      </c>
      <c r="L161" s="1">
        <f t="shared" si="4"/>
        <v>0</v>
      </c>
    </row>
    <row r="162" ht="14.25" customHeight="1">
      <c r="A162" s="7"/>
      <c r="B162" s="7"/>
      <c r="C162" s="1">
        <f>SUMIF(Recepture!$A$4:$A$500,A162,Recepture!$F$4:$F$500)</f>
        <v>0</v>
      </c>
      <c r="D162" s="7"/>
      <c r="E162" s="1">
        <f>D162/60*Podesavanja!$B$7</f>
        <v>0</v>
      </c>
      <c r="F162" s="1">
        <f>(C162+E162)*Podesavanja!$B$8</f>
        <v>0</v>
      </c>
      <c r="G162" s="1">
        <f>(C162+E162+F162)*Podesavanja!$B$24</f>
        <v>0</v>
      </c>
      <c r="H162" s="1">
        <f t="shared" si="1"/>
        <v>0</v>
      </c>
      <c r="I162" s="1">
        <f t="shared" si="2"/>
        <v>0</v>
      </c>
      <c r="J162" s="7"/>
      <c r="K162" s="1">
        <f t="shared" si="3"/>
        <v>0</v>
      </c>
      <c r="L162" s="1">
        <f t="shared" si="4"/>
        <v>0</v>
      </c>
    </row>
    <row r="163" ht="14.25" customHeight="1">
      <c r="A163" s="7"/>
      <c r="B163" s="7"/>
      <c r="C163" s="1">
        <f>SUMIF(Recepture!$A$4:$A$500,A163,Recepture!$F$4:$F$500)</f>
        <v>0</v>
      </c>
      <c r="D163" s="7"/>
      <c r="E163" s="1">
        <f>D163/60*Podesavanja!$B$7</f>
        <v>0</v>
      </c>
      <c r="F163" s="1">
        <f>(C163+E163)*Podesavanja!$B$8</f>
        <v>0</v>
      </c>
      <c r="G163" s="1">
        <f>(C163+E163+F163)*Podesavanja!$B$24</f>
        <v>0</v>
      </c>
      <c r="H163" s="1">
        <f t="shared" si="1"/>
        <v>0</v>
      </c>
      <c r="I163" s="1">
        <f t="shared" si="2"/>
        <v>0</v>
      </c>
      <c r="J163" s="7"/>
      <c r="K163" s="1">
        <f t="shared" si="3"/>
        <v>0</v>
      </c>
      <c r="L163" s="1">
        <f t="shared" si="4"/>
        <v>0</v>
      </c>
    </row>
    <row r="164" ht="14.25" customHeight="1">
      <c r="A164" s="7"/>
      <c r="B164" s="7"/>
      <c r="C164" s="1">
        <f>SUMIF(Recepture!$A$4:$A$500,A164,Recepture!$F$4:$F$500)</f>
        <v>0</v>
      </c>
      <c r="D164" s="7"/>
      <c r="E164" s="1">
        <f>D164/60*Podesavanja!$B$7</f>
        <v>0</v>
      </c>
      <c r="F164" s="1">
        <f>(C164+E164)*Podesavanja!$B$8</f>
        <v>0</v>
      </c>
      <c r="G164" s="1">
        <f>(C164+E164+F164)*Podesavanja!$B$24</f>
        <v>0</v>
      </c>
      <c r="H164" s="1">
        <f t="shared" si="1"/>
        <v>0</v>
      </c>
      <c r="I164" s="1">
        <f t="shared" si="2"/>
        <v>0</v>
      </c>
      <c r="J164" s="7"/>
      <c r="K164" s="1">
        <f t="shared" si="3"/>
        <v>0</v>
      </c>
      <c r="L164" s="1">
        <f t="shared" si="4"/>
        <v>0</v>
      </c>
    </row>
    <row r="165" ht="14.25" customHeight="1">
      <c r="A165" s="7"/>
      <c r="B165" s="7"/>
      <c r="C165" s="1">
        <f>SUMIF(Recepture!$A$4:$A$500,A165,Recepture!$F$4:$F$500)</f>
        <v>0</v>
      </c>
      <c r="D165" s="7"/>
      <c r="E165" s="1">
        <f>D165/60*Podesavanja!$B$7</f>
        <v>0</v>
      </c>
      <c r="F165" s="1">
        <f>(C165+E165)*Podesavanja!$B$8</f>
        <v>0</v>
      </c>
      <c r="G165" s="1">
        <f>(C165+E165+F165)*Podesavanja!$B$24</f>
        <v>0</v>
      </c>
      <c r="H165" s="1">
        <f t="shared" si="1"/>
        <v>0</v>
      </c>
      <c r="I165" s="1">
        <f t="shared" si="2"/>
        <v>0</v>
      </c>
      <c r="J165" s="7"/>
      <c r="K165" s="1">
        <f t="shared" si="3"/>
        <v>0</v>
      </c>
      <c r="L165" s="1">
        <f t="shared" si="4"/>
        <v>0</v>
      </c>
    </row>
    <row r="166" ht="14.25" customHeight="1">
      <c r="A166" s="7"/>
      <c r="B166" s="7"/>
      <c r="C166" s="1">
        <f>SUMIF(Recepture!$A$4:$A$500,A166,Recepture!$F$4:$F$500)</f>
        <v>0</v>
      </c>
      <c r="D166" s="7"/>
      <c r="E166" s="1">
        <f>D166/60*Podesavanja!$B$7</f>
        <v>0</v>
      </c>
      <c r="F166" s="1">
        <f>(C166+E166)*Podesavanja!$B$8</f>
        <v>0</v>
      </c>
      <c r="G166" s="1">
        <f>(C166+E166+F166)*Podesavanja!$B$24</f>
        <v>0</v>
      </c>
      <c r="H166" s="1">
        <f t="shared" si="1"/>
        <v>0</v>
      </c>
      <c r="I166" s="1">
        <f t="shared" si="2"/>
        <v>0</v>
      </c>
      <c r="J166" s="7"/>
      <c r="K166" s="1">
        <f t="shared" si="3"/>
        <v>0</v>
      </c>
      <c r="L166" s="1">
        <f t="shared" si="4"/>
        <v>0</v>
      </c>
    </row>
    <row r="167" ht="14.25" customHeight="1">
      <c r="A167" s="7"/>
      <c r="B167" s="7"/>
      <c r="C167" s="1">
        <f>SUMIF(Recepture!$A$4:$A$500,A167,Recepture!$F$4:$F$500)</f>
        <v>0</v>
      </c>
      <c r="D167" s="7"/>
      <c r="E167" s="1">
        <f>D167/60*Podesavanja!$B$7</f>
        <v>0</v>
      </c>
      <c r="F167" s="1">
        <f>(C167+E167)*Podesavanja!$B$8</f>
        <v>0</v>
      </c>
      <c r="G167" s="1">
        <f>(C167+E167+F167)*Podesavanja!$B$24</f>
        <v>0</v>
      </c>
      <c r="H167" s="1">
        <f t="shared" si="1"/>
        <v>0</v>
      </c>
      <c r="I167" s="1">
        <f t="shared" si="2"/>
        <v>0</v>
      </c>
      <c r="J167" s="7"/>
      <c r="K167" s="1">
        <f t="shared" si="3"/>
        <v>0</v>
      </c>
      <c r="L167" s="1">
        <f t="shared" si="4"/>
        <v>0</v>
      </c>
    </row>
    <row r="168" ht="14.25" customHeight="1">
      <c r="A168" s="7"/>
      <c r="B168" s="7"/>
      <c r="C168" s="1">
        <f>SUMIF(Recepture!$A$4:$A$500,A168,Recepture!$F$4:$F$500)</f>
        <v>0</v>
      </c>
      <c r="D168" s="7"/>
      <c r="E168" s="1">
        <f>D168/60*Podesavanja!$B$7</f>
        <v>0</v>
      </c>
      <c r="F168" s="1">
        <f>(C168+E168)*Podesavanja!$B$8</f>
        <v>0</v>
      </c>
      <c r="G168" s="1">
        <f>(C168+E168+F168)*Podesavanja!$B$24</f>
        <v>0</v>
      </c>
      <c r="H168" s="1">
        <f t="shared" si="1"/>
        <v>0</v>
      </c>
      <c r="I168" s="1">
        <f t="shared" si="2"/>
        <v>0</v>
      </c>
      <c r="J168" s="7"/>
      <c r="K168" s="1">
        <f t="shared" si="3"/>
        <v>0</v>
      </c>
      <c r="L168" s="1">
        <f t="shared" si="4"/>
        <v>0</v>
      </c>
    </row>
    <row r="169" ht="14.25" customHeight="1">
      <c r="A169" s="7"/>
      <c r="B169" s="7"/>
      <c r="C169" s="1">
        <f>SUMIF(Recepture!$A$4:$A$500,A169,Recepture!$F$4:$F$500)</f>
        <v>0</v>
      </c>
      <c r="D169" s="7"/>
      <c r="E169" s="1">
        <f>D169/60*Podesavanja!$B$7</f>
        <v>0</v>
      </c>
      <c r="F169" s="1">
        <f>(C169+E169)*Podesavanja!$B$8</f>
        <v>0</v>
      </c>
      <c r="G169" s="1">
        <f>(C169+E169+F169)*Podesavanja!$B$24</f>
        <v>0</v>
      </c>
      <c r="H169" s="1">
        <f t="shared" si="1"/>
        <v>0</v>
      </c>
      <c r="I169" s="1">
        <f t="shared" si="2"/>
        <v>0</v>
      </c>
      <c r="J169" s="7"/>
      <c r="K169" s="1">
        <f t="shared" si="3"/>
        <v>0</v>
      </c>
      <c r="L169" s="1">
        <f t="shared" si="4"/>
        <v>0</v>
      </c>
    </row>
    <row r="170" ht="14.25" customHeight="1">
      <c r="A170" s="7"/>
      <c r="B170" s="7"/>
      <c r="C170" s="1">
        <f>SUMIF(Recepture!$A$4:$A$500,A170,Recepture!$F$4:$F$500)</f>
        <v>0</v>
      </c>
      <c r="D170" s="7"/>
      <c r="E170" s="1">
        <f>D170/60*Podesavanja!$B$7</f>
        <v>0</v>
      </c>
      <c r="F170" s="1">
        <f>(C170+E170)*Podesavanja!$B$8</f>
        <v>0</v>
      </c>
      <c r="G170" s="1">
        <f>(C170+E170+F170)*Podesavanja!$B$24</f>
        <v>0</v>
      </c>
      <c r="H170" s="1">
        <f t="shared" si="1"/>
        <v>0</v>
      </c>
      <c r="I170" s="1">
        <f t="shared" si="2"/>
        <v>0</v>
      </c>
      <c r="J170" s="7"/>
      <c r="K170" s="1">
        <f t="shared" si="3"/>
        <v>0</v>
      </c>
      <c r="L170" s="1">
        <f t="shared" si="4"/>
        <v>0</v>
      </c>
    </row>
    <row r="171" ht="14.25" customHeight="1">
      <c r="A171" s="7"/>
      <c r="B171" s="7"/>
      <c r="C171" s="1">
        <f>SUMIF(Recepture!$A$4:$A$500,A171,Recepture!$F$4:$F$500)</f>
        <v>0</v>
      </c>
      <c r="D171" s="7"/>
      <c r="E171" s="1">
        <f>D171/60*Podesavanja!$B$7</f>
        <v>0</v>
      </c>
      <c r="F171" s="1">
        <f>(C171+E171)*Podesavanja!$B$8</f>
        <v>0</v>
      </c>
      <c r="G171" s="1">
        <f>(C171+E171+F171)*Podesavanja!$B$24</f>
        <v>0</v>
      </c>
      <c r="H171" s="1">
        <f t="shared" si="1"/>
        <v>0</v>
      </c>
      <c r="I171" s="1">
        <f t="shared" si="2"/>
        <v>0</v>
      </c>
      <c r="J171" s="7"/>
      <c r="K171" s="1">
        <f t="shared" si="3"/>
        <v>0</v>
      </c>
      <c r="L171" s="1">
        <f t="shared" si="4"/>
        <v>0</v>
      </c>
    </row>
    <row r="172" ht="14.25" customHeight="1">
      <c r="A172" s="7"/>
      <c r="B172" s="7"/>
      <c r="C172" s="1">
        <f>SUMIF(Recepture!$A$4:$A$500,A172,Recepture!$F$4:$F$500)</f>
        <v>0</v>
      </c>
      <c r="D172" s="7"/>
      <c r="E172" s="1">
        <f>D172/60*Podesavanja!$B$7</f>
        <v>0</v>
      </c>
      <c r="F172" s="1">
        <f>(C172+E172)*Podesavanja!$B$8</f>
        <v>0</v>
      </c>
      <c r="G172" s="1">
        <f>(C172+E172+F172)*Podesavanja!$B$24</f>
        <v>0</v>
      </c>
      <c r="H172" s="1">
        <f t="shared" si="1"/>
        <v>0</v>
      </c>
      <c r="I172" s="1">
        <f t="shared" si="2"/>
        <v>0</v>
      </c>
      <c r="J172" s="7"/>
      <c r="K172" s="1">
        <f t="shared" si="3"/>
        <v>0</v>
      </c>
      <c r="L172" s="1">
        <f t="shared" si="4"/>
        <v>0</v>
      </c>
    </row>
    <row r="173" ht="14.25" customHeight="1">
      <c r="A173" s="7"/>
      <c r="B173" s="7"/>
      <c r="C173" s="1">
        <f>SUMIF(Recepture!$A$4:$A$500,A173,Recepture!$F$4:$F$500)</f>
        <v>0</v>
      </c>
      <c r="D173" s="7"/>
      <c r="E173" s="1">
        <f>D173/60*Podesavanja!$B$7</f>
        <v>0</v>
      </c>
      <c r="F173" s="1">
        <f>(C173+E173)*Podesavanja!$B$8</f>
        <v>0</v>
      </c>
      <c r="G173" s="1">
        <f>(C173+E173+F173)*Podesavanja!$B$24</f>
        <v>0</v>
      </c>
      <c r="H173" s="1">
        <f t="shared" si="1"/>
        <v>0</v>
      </c>
      <c r="I173" s="1">
        <f t="shared" si="2"/>
        <v>0</v>
      </c>
      <c r="J173" s="7"/>
      <c r="K173" s="1">
        <f t="shared" si="3"/>
        <v>0</v>
      </c>
      <c r="L173" s="1">
        <f t="shared" si="4"/>
        <v>0</v>
      </c>
    </row>
    <row r="174" ht="14.25" customHeight="1">
      <c r="A174" s="7"/>
      <c r="B174" s="7"/>
      <c r="C174" s="1">
        <f>SUMIF(Recepture!$A$4:$A$500,A174,Recepture!$F$4:$F$500)</f>
        <v>0</v>
      </c>
      <c r="D174" s="7"/>
      <c r="E174" s="1">
        <f>D174/60*Podesavanja!$B$7</f>
        <v>0</v>
      </c>
      <c r="F174" s="1">
        <f>(C174+E174)*Podesavanja!$B$8</f>
        <v>0</v>
      </c>
      <c r="G174" s="1">
        <f>(C174+E174+F174)*Podesavanja!$B$24</f>
        <v>0</v>
      </c>
      <c r="H174" s="1">
        <f t="shared" si="1"/>
        <v>0</v>
      </c>
      <c r="I174" s="1">
        <f t="shared" si="2"/>
        <v>0</v>
      </c>
      <c r="J174" s="7"/>
      <c r="K174" s="1">
        <f t="shared" si="3"/>
        <v>0</v>
      </c>
      <c r="L174" s="1">
        <f t="shared" si="4"/>
        <v>0</v>
      </c>
    </row>
    <row r="175" ht="14.25" customHeight="1">
      <c r="A175" s="7"/>
      <c r="B175" s="7"/>
      <c r="C175" s="1">
        <f>SUMIF(Recepture!$A$4:$A$500,A175,Recepture!$F$4:$F$500)</f>
        <v>0</v>
      </c>
      <c r="D175" s="7"/>
      <c r="E175" s="1">
        <f>D175/60*Podesavanja!$B$7</f>
        <v>0</v>
      </c>
      <c r="F175" s="1">
        <f>(C175+E175)*Podesavanja!$B$8</f>
        <v>0</v>
      </c>
      <c r="G175" s="1">
        <f>(C175+E175+F175)*Podesavanja!$B$24</f>
        <v>0</v>
      </c>
      <c r="H175" s="1">
        <f t="shared" si="1"/>
        <v>0</v>
      </c>
      <c r="I175" s="1">
        <f t="shared" si="2"/>
        <v>0</v>
      </c>
      <c r="J175" s="7"/>
      <c r="K175" s="1">
        <f t="shared" si="3"/>
        <v>0</v>
      </c>
      <c r="L175" s="1">
        <f t="shared" si="4"/>
        <v>0</v>
      </c>
    </row>
    <row r="176" ht="14.25" customHeight="1">
      <c r="A176" s="7"/>
      <c r="B176" s="7"/>
      <c r="C176" s="1">
        <f>SUMIF(Recepture!$A$4:$A$500,A176,Recepture!$F$4:$F$500)</f>
        <v>0</v>
      </c>
      <c r="D176" s="7"/>
      <c r="E176" s="1">
        <f>D176/60*Podesavanja!$B$7</f>
        <v>0</v>
      </c>
      <c r="F176" s="1">
        <f>(C176+E176)*Podesavanja!$B$8</f>
        <v>0</v>
      </c>
      <c r="G176" s="1">
        <f>(C176+E176+F176)*Podesavanja!$B$24</f>
        <v>0</v>
      </c>
      <c r="H176" s="1">
        <f t="shared" si="1"/>
        <v>0</v>
      </c>
      <c r="I176" s="1">
        <f t="shared" si="2"/>
        <v>0</v>
      </c>
      <c r="J176" s="7"/>
      <c r="K176" s="1">
        <f t="shared" si="3"/>
        <v>0</v>
      </c>
      <c r="L176" s="1">
        <f t="shared" si="4"/>
        <v>0</v>
      </c>
    </row>
    <row r="177" ht="14.25" customHeight="1">
      <c r="A177" s="7"/>
      <c r="B177" s="7"/>
      <c r="C177" s="1">
        <f>SUMIF(Recepture!$A$4:$A$500,A177,Recepture!$F$4:$F$500)</f>
        <v>0</v>
      </c>
      <c r="D177" s="7"/>
      <c r="E177" s="1">
        <f>D177/60*Podesavanja!$B$7</f>
        <v>0</v>
      </c>
      <c r="F177" s="1">
        <f>(C177+E177)*Podesavanja!$B$8</f>
        <v>0</v>
      </c>
      <c r="G177" s="1">
        <f>(C177+E177+F177)*Podesavanja!$B$24</f>
        <v>0</v>
      </c>
      <c r="H177" s="1">
        <f t="shared" si="1"/>
        <v>0</v>
      </c>
      <c r="I177" s="1">
        <f t="shared" si="2"/>
        <v>0</v>
      </c>
      <c r="J177" s="7"/>
      <c r="K177" s="1">
        <f t="shared" si="3"/>
        <v>0</v>
      </c>
      <c r="L177" s="1">
        <f t="shared" si="4"/>
        <v>0</v>
      </c>
    </row>
    <row r="178" ht="14.25" customHeight="1">
      <c r="A178" s="7"/>
      <c r="B178" s="7"/>
      <c r="C178" s="1">
        <f>SUMIF(Recepture!$A$4:$A$500,A178,Recepture!$F$4:$F$500)</f>
        <v>0</v>
      </c>
      <c r="D178" s="7"/>
      <c r="E178" s="1">
        <f>D178/60*Podesavanja!$B$7</f>
        <v>0</v>
      </c>
      <c r="F178" s="1">
        <f>(C178+E178)*Podesavanja!$B$8</f>
        <v>0</v>
      </c>
      <c r="G178" s="1">
        <f>(C178+E178+F178)*Podesavanja!$B$24</f>
        <v>0</v>
      </c>
      <c r="H178" s="1">
        <f t="shared" si="1"/>
        <v>0</v>
      </c>
      <c r="I178" s="1">
        <f t="shared" si="2"/>
        <v>0</v>
      </c>
      <c r="J178" s="7"/>
      <c r="K178" s="1">
        <f t="shared" si="3"/>
        <v>0</v>
      </c>
      <c r="L178" s="1">
        <f t="shared" si="4"/>
        <v>0</v>
      </c>
    </row>
    <row r="179" ht="14.25" customHeight="1">
      <c r="A179" s="7"/>
      <c r="B179" s="7"/>
      <c r="C179" s="1">
        <f>SUMIF(Recepture!$A$4:$A$500,A179,Recepture!$F$4:$F$500)</f>
        <v>0</v>
      </c>
      <c r="D179" s="7"/>
      <c r="E179" s="1">
        <f>D179/60*Podesavanja!$B$7</f>
        <v>0</v>
      </c>
      <c r="F179" s="1">
        <f>(C179+E179)*Podesavanja!$B$8</f>
        <v>0</v>
      </c>
      <c r="G179" s="1">
        <f>(C179+E179+F179)*Podesavanja!$B$24</f>
        <v>0</v>
      </c>
      <c r="H179" s="1">
        <f t="shared" si="1"/>
        <v>0</v>
      </c>
      <c r="I179" s="1">
        <f t="shared" si="2"/>
        <v>0</v>
      </c>
      <c r="J179" s="7"/>
      <c r="K179" s="1">
        <f t="shared" si="3"/>
        <v>0</v>
      </c>
      <c r="L179" s="1">
        <f t="shared" si="4"/>
        <v>0</v>
      </c>
    </row>
    <row r="180" ht="14.25" customHeight="1">
      <c r="A180" s="7"/>
      <c r="B180" s="7"/>
      <c r="C180" s="1">
        <f>SUMIF(Recepture!$A$4:$A$500,A180,Recepture!$F$4:$F$500)</f>
        <v>0</v>
      </c>
      <c r="D180" s="7"/>
      <c r="E180" s="1">
        <f>D180/60*Podesavanja!$B$7</f>
        <v>0</v>
      </c>
      <c r="F180" s="1">
        <f>(C180+E180)*Podesavanja!$B$8</f>
        <v>0</v>
      </c>
      <c r="G180" s="1">
        <f>(C180+E180+F180)*Podesavanja!$B$24</f>
        <v>0</v>
      </c>
      <c r="H180" s="1">
        <f t="shared" si="1"/>
        <v>0</v>
      </c>
      <c r="I180" s="1">
        <f t="shared" si="2"/>
        <v>0</v>
      </c>
      <c r="J180" s="7"/>
      <c r="K180" s="1">
        <f t="shared" si="3"/>
        <v>0</v>
      </c>
      <c r="L180" s="1">
        <f t="shared" si="4"/>
        <v>0</v>
      </c>
    </row>
    <row r="181" ht="14.25" customHeight="1">
      <c r="A181" s="7"/>
      <c r="B181" s="7"/>
      <c r="C181" s="1">
        <f>SUMIF(Recepture!$A$4:$A$500,A181,Recepture!$F$4:$F$500)</f>
        <v>0</v>
      </c>
      <c r="D181" s="7"/>
      <c r="E181" s="1">
        <f>D181/60*Podesavanja!$B$7</f>
        <v>0</v>
      </c>
      <c r="F181" s="1">
        <f>(C181+E181)*Podesavanja!$B$8</f>
        <v>0</v>
      </c>
      <c r="G181" s="1">
        <f>(C181+E181+F181)*Podesavanja!$B$24</f>
        <v>0</v>
      </c>
      <c r="H181" s="1">
        <f t="shared" si="1"/>
        <v>0</v>
      </c>
      <c r="I181" s="1">
        <f t="shared" si="2"/>
        <v>0</v>
      </c>
      <c r="J181" s="7"/>
      <c r="K181" s="1">
        <f t="shared" si="3"/>
        <v>0</v>
      </c>
      <c r="L181" s="1">
        <f t="shared" si="4"/>
        <v>0</v>
      </c>
    </row>
    <row r="182" ht="14.25" customHeight="1">
      <c r="A182" s="7"/>
      <c r="B182" s="7"/>
      <c r="C182" s="1">
        <f>SUMIF(Recepture!$A$4:$A$500,A182,Recepture!$F$4:$F$500)</f>
        <v>0</v>
      </c>
      <c r="D182" s="7"/>
      <c r="E182" s="1">
        <f>D182/60*Podesavanja!$B$7</f>
        <v>0</v>
      </c>
      <c r="F182" s="1">
        <f>(C182+E182)*Podesavanja!$B$8</f>
        <v>0</v>
      </c>
      <c r="G182" s="1">
        <f>(C182+E182+F182)*Podesavanja!$B$24</f>
        <v>0</v>
      </c>
      <c r="H182" s="1">
        <f t="shared" si="1"/>
        <v>0</v>
      </c>
      <c r="I182" s="1">
        <f t="shared" si="2"/>
        <v>0</v>
      </c>
      <c r="J182" s="7"/>
      <c r="K182" s="1">
        <f t="shared" si="3"/>
        <v>0</v>
      </c>
      <c r="L182" s="1">
        <f t="shared" si="4"/>
        <v>0</v>
      </c>
    </row>
    <row r="183" ht="14.25" customHeight="1">
      <c r="A183" s="7"/>
      <c r="B183" s="7"/>
      <c r="C183" s="1">
        <f>SUMIF(Recepture!$A$4:$A$500,A183,Recepture!$F$4:$F$500)</f>
        <v>0</v>
      </c>
      <c r="D183" s="7"/>
      <c r="E183" s="1">
        <f>D183/60*Podesavanja!$B$7</f>
        <v>0</v>
      </c>
      <c r="F183" s="1">
        <f>(C183+E183)*Podesavanja!$B$8</f>
        <v>0</v>
      </c>
      <c r="G183" s="1">
        <f>(C183+E183+F183)*Podesavanja!$B$24</f>
        <v>0</v>
      </c>
      <c r="H183" s="1">
        <f t="shared" si="1"/>
        <v>0</v>
      </c>
      <c r="I183" s="1">
        <f t="shared" si="2"/>
        <v>0</v>
      </c>
      <c r="J183" s="7"/>
      <c r="K183" s="1">
        <f t="shared" si="3"/>
        <v>0</v>
      </c>
      <c r="L183" s="1">
        <f t="shared" si="4"/>
        <v>0</v>
      </c>
    </row>
    <row r="184" ht="14.25" customHeight="1">
      <c r="A184" s="7"/>
      <c r="B184" s="7"/>
      <c r="C184" s="1">
        <f>SUMIF(Recepture!$A$4:$A$500,A184,Recepture!$F$4:$F$500)</f>
        <v>0</v>
      </c>
      <c r="D184" s="7"/>
      <c r="E184" s="1">
        <f>D184/60*Podesavanja!$B$7</f>
        <v>0</v>
      </c>
      <c r="F184" s="1">
        <f>(C184+E184)*Podesavanja!$B$8</f>
        <v>0</v>
      </c>
      <c r="G184" s="1">
        <f>(C184+E184+F184)*Podesavanja!$B$24</f>
        <v>0</v>
      </c>
      <c r="H184" s="1">
        <f t="shared" si="1"/>
        <v>0</v>
      </c>
      <c r="I184" s="1">
        <f t="shared" si="2"/>
        <v>0</v>
      </c>
      <c r="J184" s="7"/>
      <c r="K184" s="1">
        <f t="shared" si="3"/>
        <v>0</v>
      </c>
      <c r="L184" s="1">
        <f t="shared" si="4"/>
        <v>0</v>
      </c>
    </row>
    <row r="185" ht="14.25" customHeight="1">
      <c r="A185" s="7"/>
      <c r="B185" s="7"/>
      <c r="C185" s="1">
        <f>SUMIF(Recepture!$A$4:$A$500,A185,Recepture!$F$4:$F$500)</f>
        <v>0</v>
      </c>
      <c r="D185" s="7"/>
      <c r="E185" s="1">
        <f>D185/60*Podesavanja!$B$7</f>
        <v>0</v>
      </c>
      <c r="F185" s="1">
        <f>(C185+E185)*Podesavanja!$B$8</f>
        <v>0</v>
      </c>
      <c r="G185" s="1">
        <f>(C185+E185+F185)*Podesavanja!$B$24</f>
        <v>0</v>
      </c>
      <c r="H185" s="1">
        <f t="shared" si="1"/>
        <v>0</v>
      </c>
      <c r="I185" s="1">
        <f t="shared" si="2"/>
        <v>0</v>
      </c>
      <c r="J185" s="7"/>
      <c r="K185" s="1">
        <f t="shared" si="3"/>
        <v>0</v>
      </c>
      <c r="L185" s="1">
        <f t="shared" si="4"/>
        <v>0</v>
      </c>
    </row>
    <row r="186" ht="14.25" customHeight="1">
      <c r="A186" s="7"/>
      <c r="B186" s="7"/>
      <c r="C186" s="1">
        <f>SUMIF(Recepture!$A$4:$A$500,A186,Recepture!$F$4:$F$500)</f>
        <v>0</v>
      </c>
      <c r="D186" s="7"/>
      <c r="E186" s="1">
        <f>D186/60*Podesavanja!$B$7</f>
        <v>0</v>
      </c>
      <c r="F186" s="1">
        <f>(C186+E186)*Podesavanja!$B$8</f>
        <v>0</v>
      </c>
      <c r="G186" s="1">
        <f>(C186+E186+F186)*Podesavanja!$B$24</f>
        <v>0</v>
      </c>
      <c r="H186" s="1">
        <f t="shared" si="1"/>
        <v>0</v>
      </c>
      <c r="I186" s="1">
        <f t="shared" si="2"/>
        <v>0</v>
      </c>
      <c r="J186" s="7"/>
      <c r="K186" s="1">
        <f t="shared" si="3"/>
        <v>0</v>
      </c>
      <c r="L186" s="1">
        <f t="shared" si="4"/>
        <v>0</v>
      </c>
    </row>
    <row r="187" ht="14.25" customHeight="1">
      <c r="A187" s="7"/>
      <c r="B187" s="7"/>
      <c r="C187" s="1">
        <f>SUMIF(Recepture!$A$4:$A$500,A187,Recepture!$F$4:$F$500)</f>
        <v>0</v>
      </c>
      <c r="D187" s="7"/>
      <c r="E187" s="1">
        <f>D187/60*Podesavanja!$B$7</f>
        <v>0</v>
      </c>
      <c r="F187" s="1">
        <f>(C187+E187)*Podesavanja!$B$8</f>
        <v>0</v>
      </c>
      <c r="G187" s="1">
        <f>(C187+E187+F187)*Podesavanja!$B$24</f>
        <v>0</v>
      </c>
      <c r="H187" s="1">
        <f t="shared" si="1"/>
        <v>0</v>
      </c>
      <c r="I187" s="1">
        <f t="shared" si="2"/>
        <v>0</v>
      </c>
      <c r="J187" s="7"/>
      <c r="K187" s="1">
        <f t="shared" si="3"/>
        <v>0</v>
      </c>
      <c r="L187" s="1">
        <f t="shared" si="4"/>
        <v>0</v>
      </c>
    </row>
    <row r="188" ht="14.25" customHeight="1">
      <c r="A188" s="7"/>
      <c r="B188" s="7"/>
      <c r="C188" s="1">
        <f>SUMIF(Recepture!$A$4:$A$500,A188,Recepture!$F$4:$F$500)</f>
        <v>0</v>
      </c>
      <c r="D188" s="7"/>
      <c r="E188" s="1">
        <f>D188/60*Podesavanja!$B$7</f>
        <v>0</v>
      </c>
      <c r="F188" s="1">
        <f>(C188+E188)*Podesavanja!$B$8</f>
        <v>0</v>
      </c>
      <c r="G188" s="1">
        <f>(C188+E188+F188)*Podesavanja!$B$24</f>
        <v>0</v>
      </c>
      <c r="H188" s="1">
        <f t="shared" si="1"/>
        <v>0</v>
      </c>
      <c r="I188" s="1">
        <f t="shared" si="2"/>
        <v>0</v>
      </c>
      <c r="J188" s="7"/>
      <c r="K188" s="1">
        <f t="shared" si="3"/>
        <v>0</v>
      </c>
      <c r="L188" s="1">
        <f t="shared" si="4"/>
        <v>0</v>
      </c>
    </row>
    <row r="189" ht="14.25" customHeight="1">
      <c r="A189" s="7"/>
      <c r="B189" s="7"/>
      <c r="C189" s="1">
        <f>SUMIF(Recepture!$A$4:$A$500,A189,Recepture!$F$4:$F$500)</f>
        <v>0</v>
      </c>
      <c r="D189" s="7"/>
      <c r="E189" s="1">
        <f>D189/60*Podesavanja!$B$7</f>
        <v>0</v>
      </c>
      <c r="F189" s="1">
        <f>(C189+E189)*Podesavanja!$B$8</f>
        <v>0</v>
      </c>
      <c r="G189" s="1">
        <f>(C189+E189+F189)*Podesavanja!$B$24</f>
        <v>0</v>
      </c>
      <c r="H189" s="1">
        <f t="shared" si="1"/>
        <v>0</v>
      </c>
      <c r="I189" s="1">
        <f t="shared" si="2"/>
        <v>0</v>
      </c>
      <c r="J189" s="7"/>
      <c r="K189" s="1">
        <f t="shared" si="3"/>
        <v>0</v>
      </c>
      <c r="L189" s="1">
        <f t="shared" si="4"/>
        <v>0</v>
      </c>
    </row>
    <row r="190" ht="14.25" customHeight="1">
      <c r="A190" s="7"/>
      <c r="B190" s="7"/>
      <c r="C190" s="1">
        <f>SUMIF(Recepture!$A$4:$A$500,A190,Recepture!$F$4:$F$500)</f>
        <v>0</v>
      </c>
      <c r="D190" s="7"/>
      <c r="E190" s="1">
        <f>D190/60*Podesavanja!$B$7</f>
        <v>0</v>
      </c>
      <c r="F190" s="1">
        <f>(C190+E190)*Podesavanja!$B$8</f>
        <v>0</v>
      </c>
      <c r="G190" s="1">
        <f>(C190+E190+F190)*Podesavanja!$B$24</f>
        <v>0</v>
      </c>
      <c r="H190" s="1">
        <f t="shared" si="1"/>
        <v>0</v>
      </c>
      <c r="I190" s="1">
        <f t="shared" si="2"/>
        <v>0</v>
      </c>
      <c r="J190" s="7"/>
      <c r="K190" s="1">
        <f t="shared" si="3"/>
        <v>0</v>
      </c>
      <c r="L190" s="1">
        <f t="shared" si="4"/>
        <v>0</v>
      </c>
    </row>
    <row r="191" ht="14.25" customHeight="1">
      <c r="A191" s="7"/>
      <c r="B191" s="7"/>
      <c r="C191" s="1">
        <f>SUMIF(Recepture!$A$4:$A$500,A191,Recepture!$F$4:$F$500)</f>
        <v>0</v>
      </c>
      <c r="D191" s="7"/>
      <c r="E191" s="1">
        <f>D191/60*Podesavanja!$B$7</f>
        <v>0</v>
      </c>
      <c r="F191" s="1">
        <f>(C191+E191)*Podesavanja!$B$8</f>
        <v>0</v>
      </c>
      <c r="G191" s="1">
        <f>(C191+E191+F191)*Podesavanja!$B$24</f>
        <v>0</v>
      </c>
      <c r="H191" s="1">
        <f t="shared" si="1"/>
        <v>0</v>
      </c>
      <c r="I191" s="1">
        <f t="shared" si="2"/>
        <v>0</v>
      </c>
      <c r="J191" s="7"/>
      <c r="K191" s="1">
        <f t="shared" si="3"/>
        <v>0</v>
      </c>
      <c r="L191" s="1">
        <f t="shared" si="4"/>
        <v>0</v>
      </c>
    </row>
    <row r="192" ht="14.25" customHeight="1">
      <c r="A192" s="7"/>
      <c r="B192" s="7"/>
      <c r="C192" s="1">
        <f>SUMIF(Recepture!$A$4:$A$500,A192,Recepture!$F$4:$F$500)</f>
        <v>0</v>
      </c>
      <c r="D192" s="7"/>
      <c r="E192" s="1">
        <f>D192/60*Podesavanja!$B$7</f>
        <v>0</v>
      </c>
      <c r="F192" s="1">
        <f>(C192+E192)*Podesavanja!$B$8</f>
        <v>0</v>
      </c>
      <c r="G192" s="1">
        <f>(C192+E192+F192)*Podesavanja!$B$24</f>
        <v>0</v>
      </c>
      <c r="H192" s="1">
        <f t="shared" si="1"/>
        <v>0</v>
      </c>
      <c r="I192" s="1">
        <f t="shared" si="2"/>
        <v>0</v>
      </c>
      <c r="J192" s="7"/>
      <c r="K192" s="1">
        <f t="shared" si="3"/>
        <v>0</v>
      </c>
      <c r="L192" s="1">
        <f t="shared" si="4"/>
        <v>0</v>
      </c>
    </row>
    <row r="193" ht="14.25" customHeight="1">
      <c r="A193" s="7"/>
      <c r="B193" s="7"/>
      <c r="C193" s="1">
        <f>SUMIF(Recepture!$A$4:$A$500,A193,Recepture!$F$4:$F$500)</f>
        <v>0</v>
      </c>
      <c r="D193" s="7"/>
      <c r="E193" s="1">
        <f>D193/60*Podesavanja!$B$7</f>
        <v>0</v>
      </c>
      <c r="F193" s="1">
        <f>(C193+E193)*Podesavanja!$B$8</f>
        <v>0</v>
      </c>
      <c r="G193" s="1">
        <f>(C193+E193+F193)*Podesavanja!$B$24</f>
        <v>0</v>
      </c>
      <c r="H193" s="1">
        <f t="shared" si="1"/>
        <v>0</v>
      </c>
      <c r="I193" s="1">
        <f t="shared" si="2"/>
        <v>0</v>
      </c>
      <c r="J193" s="7"/>
      <c r="K193" s="1">
        <f t="shared" si="3"/>
        <v>0</v>
      </c>
      <c r="L193" s="1">
        <f t="shared" si="4"/>
        <v>0</v>
      </c>
    </row>
    <row r="194" ht="14.25" customHeight="1">
      <c r="A194" s="7"/>
      <c r="B194" s="7"/>
      <c r="C194" s="1">
        <f>SUMIF(Recepture!$A$4:$A$500,A194,Recepture!$F$4:$F$500)</f>
        <v>0</v>
      </c>
      <c r="D194" s="7"/>
      <c r="E194" s="1">
        <f>D194/60*Podesavanja!$B$7</f>
        <v>0</v>
      </c>
      <c r="F194" s="1">
        <f>(C194+E194)*Podesavanja!$B$8</f>
        <v>0</v>
      </c>
      <c r="G194" s="1">
        <f>(C194+E194+F194)*Podesavanja!$B$24</f>
        <v>0</v>
      </c>
      <c r="H194" s="1">
        <f t="shared" si="1"/>
        <v>0</v>
      </c>
      <c r="I194" s="1">
        <f t="shared" si="2"/>
        <v>0</v>
      </c>
      <c r="J194" s="7"/>
      <c r="K194" s="1">
        <f t="shared" si="3"/>
        <v>0</v>
      </c>
      <c r="L194" s="1">
        <f t="shared" si="4"/>
        <v>0</v>
      </c>
    </row>
    <row r="195" ht="14.25" customHeight="1">
      <c r="A195" s="7"/>
      <c r="B195" s="7"/>
      <c r="C195" s="1">
        <f>SUMIF(Recepture!$A$4:$A$500,A195,Recepture!$F$4:$F$500)</f>
        <v>0</v>
      </c>
      <c r="D195" s="7"/>
      <c r="E195" s="1">
        <f>D195/60*Podesavanja!$B$7</f>
        <v>0</v>
      </c>
      <c r="F195" s="1">
        <f>(C195+E195)*Podesavanja!$B$8</f>
        <v>0</v>
      </c>
      <c r="G195" s="1">
        <f>(C195+E195+F195)*Podesavanja!$B$24</f>
        <v>0</v>
      </c>
      <c r="H195" s="1">
        <f t="shared" si="1"/>
        <v>0</v>
      </c>
      <c r="I195" s="1">
        <f t="shared" si="2"/>
        <v>0</v>
      </c>
      <c r="J195" s="7"/>
      <c r="K195" s="1">
        <f t="shared" si="3"/>
        <v>0</v>
      </c>
      <c r="L195" s="1">
        <f t="shared" si="4"/>
        <v>0</v>
      </c>
    </row>
    <row r="196" ht="14.25" customHeight="1">
      <c r="A196" s="7"/>
      <c r="B196" s="7"/>
      <c r="C196" s="1">
        <f>SUMIF(Recepture!$A$4:$A$500,A196,Recepture!$F$4:$F$500)</f>
        <v>0</v>
      </c>
      <c r="D196" s="7"/>
      <c r="E196" s="1">
        <f>D196/60*Podesavanja!$B$7</f>
        <v>0</v>
      </c>
      <c r="F196" s="1">
        <f>(C196+E196)*Podesavanja!$B$8</f>
        <v>0</v>
      </c>
      <c r="G196" s="1">
        <f>(C196+E196+F196)*Podesavanja!$B$24</f>
        <v>0</v>
      </c>
      <c r="H196" s="1">
        <f t="shared" si="1"/>
        <v>0</v>
      </c>
      <c r="I196" s="1">
        <f t="shared" si="2"/>
        <v>0</v>
      </c>
      <c r="J196" s="7"/>
      <c r="K196" s="1">
        <f t="shared" si="3"/>
        <v>0</v>
      </c>
      <c r="L196" s="1">
        <f t="shared" si="4"/>
        <v>0</v>
      </c>
    </row>
    <row r="197" ht="14.25" customHeight="1">
      <c r="A197" s="7"/>
      <c r="B197" s="7"/>
      <c r="C197" s="1">
        <f>SUMIF(Recepture!$A$4:$A$500,A197,Recepture!$F$4:$F$500)</f>
        <v>0</v>
      </c>
      <c r="D197" s="7"/>
      <c r="E197" s="1">
        <f>D197/60*Podesavanja!$B$7</f>
        <v>0</v>
      </c>
      <c r="F197" s="1">
        <f>(C197+E197)*Podesavanja!$B$8</f>
        <v>0</v>
      </c>
      <c r="G197" s="1">
        <f>(C197+E197+F197)*Podesavanja!$B$24</f>
        <v>0</v>
      </c>
      <c r="H197" s="1">
        <f t="shared" si="1"/>
        <v>0</v>
      </c>
      <c r="I197" s="1">
        <f t="shared" si="2"/>
        <v>0</v>
      </c>
      <c r="J197" s="7"/>
      <c r="K197" s="1">
        <f t="shared" si="3"/>
        <v>0</v>
      </c>
      <c r="L197" s="1">
        <f t="shared" si="4"/>
        <v>0</v>
      </c>
    </row>
    <row r="198" ht="14.25" customHeight="1">
      <c r="A198" s="7"/>
      <c r="B198" s="7"/>
      <c r="C198" s="1">
        <f>SUMIF(Recepture!$A$4:$A$500,A198,Recepture!$F$4:$F$500)</f>
        <v>0</v>
      </c>
      <c r="D198" s="7"/>
      <c r="E198" s="1">
        <f>D198/60*Podesavanja!$B$7</f>
        <v>0</v>
      </c>
      <c r="F198" s="1">
        <f>(C198+E198)*Podesavanja!$B$8</f>
        <v>0</v>
      </c>
      <c r="G198" s="1">
        <f>(C198+E198+F198)*Podesavanja!$B$24</f>
        <v>0</v>
      </c>
      <c r="H198" s="1">
        <f t="shared" si="1"/>
        <v>0</v>
      </c>
      <c r="I198" s="1">
        <f t="shared" si="2"/>
        <v>0</v>
      </c>
      <c r="J198" s="7"/>
      <c r="K198" s="1">
        <f t="shared" si="3"/>
        <v>0</v>
      </c>
      <c r="L198" s="1">
        <f t="shared" si="4"/>
        <v>0</v>
      </c>
    </row>
    <row r="199" ht="14.25" customHeight="1">
      <c r="A199" s="7"/>
      <c r="B199" s="7"/>
      <c r="C199" s="1">
        <f>SUMIF(Recepture!$A$4:$A$500,A199,Recepture!$F$4:$F$500)</f>
        <v>0</v>
      </c>
      <c r="D199" s="7"/>
      <c r="E199" s="1">
        <f>D199/60*Podesavanja!$B$7</f>
        <v>0</v>
      </c>
      <c r="F199" s="1">
        <f>(C199+E199)*Podesavanja!$B$8</f>
        <v>0</v>
      </c>
      <c r="G199" s="1">
        <f>(C199+E199+F199)*Podesavanja!$B$24</f>
        <v>0</v>
      </c>
      <c r="H199" s="1">
        <f t="shared" si="1"/>
        <v>0</v>
      </c>
      <c r="I199" s="1">
        <f t="shared" si="2"/>
        <v>0</v>
      </c>
      <c r="J199" s="7"/>
      <c r="K199" s="1">
        <f t="shared" si="3"/>
        <v>0</v>
      </c>
      <c r="L199" s="1">
        <f t="shared" si="4"/>
        <v>0</v>
      </c>
    </row>
    <row r="200" ht="14.25" customHeight="1">
      <c r="A200" s="7"/>
      <c r="B200" s="7"/>
      <c r="C200" s="1">
        <f>SUMIF(Recepture!$A$4:$A$500,A200,Recepture!$F$4:$F$500)</f>
        <v>0</v>
      </c>
      <c r="D200" s="7"/>
      <c r="E200" s="1">
        <f>D200/60*Podesavanja!$B$7</f>
        <v>0</v>
      </c>
      <c r="F200" s="1">
        <f>(C200+E200)*Podesavanja!$B$8</f>
        <v>0</v>
      </c>
      <c r="G200" s="1">
        <f>(C200+E200+F200)*Podesavanja!$B$24</f>
        <v>0</v>
      </c>
      <c r="H200" s="1">
        <f t="shared" si="1"/>
        <v>0</v>
      </c>
      <c r="I200" s="1">
        <f t="shared" si="2"/>
        <v>0</v>
      </c>
      <c r="J200" s="7"/>
      <c r="K200" s="1">
        <f t="shared" si="3"/>
        <v>0</v>
      </c>
      <c r="L200" s="1">
        <f t="shared" si="4"/>
        <v>0</v>
      </c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